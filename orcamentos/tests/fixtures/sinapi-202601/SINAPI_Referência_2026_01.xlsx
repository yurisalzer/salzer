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u" sheetId="1" r:id="rId1"/>
    <sheet name="Busca" sheetId="2" r:id="rId2"/>
    <sheet name="ISD" sheetId="3" r:id="rId3"/>
    <sheet name="ICD" sheetId="4" r:id="rId4"/>
    <sheet name="ISE" sheetId="5" r:id="rId5"/>
    <sheet name="CSD" sheetId="6" r:id="rId6"/>
    <sheet name="CCD" sheetId="7" r:id="rId7"/>
    <sheet name="CSE" sheetId="8" r:id="rId8"/>
    <sheet name="Analítico" sheetId="9" r:id="rId9"/>
    <sheet name="Analítico com Custo" sheetId="10" r:id="rId10"/>
  </sheets>
  <definedNames>
    <definedName name="_xlnm._FilterDatabase" localSheetId="8" hidden="1">Analítico!$A$10:$H$54688</definedName>
    <definedName name="_xlnm._FilterDatabase" localSheetId="6" hidden="1">CCD!$A$10:$BF$10265</definedName>
    <definedName name="_xlnm._FilterDatabase" localSheetId="5" hidden="1">CSD!$A$10:$BF$10265</definedName>
    <definedName name="_xlnm._FilterDatabase" localSheetId="7" hidden="1">CSE!$A$10:$BF$10265</definedName>
    <definedName name="_xlnm._FilterDatabase" localSheetId="3" hidden="1">ICD!$A$10:$AF$130987</definedName>
    <definedName name="_xlnm._FilterDatabase" localSheetId="2" hidden="1">ISD!$A$10:$AF$130987</definedName>
    <definedName name="_xlnm._FilterDatabase" localSheetId="4" hidden="1">ISE!$A$10:$AF$130987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<sst xmlns="http://schemas.openxmlformats.org/spreadsheetml/2006/main" count="189" uniqueCount="189">
  <si>
    <t>SINAPI - Sistema Nacional de Pesquisa de Custos e Índices da Construção Civil</t>
  </si>
  <si>
    <t>SINAPI</t>
  </si>
  <si>
    <t>Sistema Nacional de Pesquisa de Custos e Índices da Construção Civil</t>
  </si>
  <si>
    <t>Permite a pesquisa de insumos ou composições, por termos não consecutivos, com filtro "contém" e "não contém"</t>
  </si>
  <si>
    <t>Relatório de preços de insumos sem desoneração para as 27 UF. Inclui link para as fichas de especificação técnica dos insumos.</t>
  </si>
  <si>
    <t>Relatório de preços de insumos com desoneração para as 27 UF. Inclui link para as fichas de especificação técnica dos insumos.</t>
  </si>
  <si>
    <t>Relatório de preços de insumos sem encargos sociais para as 27 UF. Inclui link para as fichas de especificação técnica dos insumos.</t>
  </si>
  <si>
    <t>Relatório de custos de composição sem desoneração para as 27 UF. Inclui links para os cadernos técnicos, links para o analítico da composição, composições com custo e sem custo.</t>
  </si>
  <si>
    <t>Relatório de custos de composição com desoneração para as 27 UF. Inclui links para os cadernos técnicos, links para o analítico da composição, composições com custo e sem custo.</t>
  </si>
  <si>
    <t>Relatório de custos de composição sem encargos sociais para as 27 UF. Inclui links para os cadernos técnicos, links para o analítico da composição, composições com custo e sem custo.</t>
  </si>
  <si>
    <t>Relatório analítico das composições.</t>
  </si>
  <si>
    <t>Permite a consulta do analítico com custos para uma composição, UF e regime de desoneração selecionados.</t>
  </si>
  <si>
    <t>PESQUISA POR TERMOS NAS DESCRIÇÕES</t>
  </si>
  <si>
    <t>Instruções:</t>
  </si>
  <si>
    <t>Preencher a pesquisa com palavras separadas por espaço.
Acentuação das palavras afeta a pesquisa.
Ordem das palavras ou maiúscula/minúscula não afeta a pesquisa.
O campo "Pesquisar em" deve ser preenchido com "insumos" ou "composições".
O campo "Contém" é obrigatório.
Funciona somente em versões do Excel que tenham disponíveis as fórmulas FILTRO, CLASSIFICAR, DIVIDIRTEXTO, BYROW e LAMBDA</t>
  </si>
  <si>
    <t>Pesquisar em:</t>
  </si>
  <si>
    <t>composições</t>
  </si>
  <si>
    <t>Contém*:</t>
  </si>
  <si>
    <t>paviment execução asf</t>
  </si>
  <si>
    <t>Não Contém:</t>
  </si>
  <si>
    <t>Descrição</t>
  </si>
  <si>
    <t>Unidade</t>
  </si>
  <si>
    <t>Mês de Referência:</t>
  </si>
  <si>
    <t>01/2026</t>
  </si>
  <si>
    <t>Data de emissão:</t>
  </si>
  <si>
    <t>23/03/2026</t>
  </si>
  <si>
    <t>RELATÓRIO DE PREÇOS DE INSUMOS - ENGARGOS SOCIAIS SEM DESONERAÇÃO</t>
  </si>
  <si>
    <t>Origem de preço:</t>
  </si>
  <si>
    <t>C = COLETADO</t>
  </si>
  <si>
    <t>CR = COEFICIENTE DE REPRESENTATIVIDADE</t>
  </si>
  <si>
    <t>Preço em branco para determinado estado significa que não houve coleta mínima de preços no mês de referência</t>
  </si>
  <si>
    <t>Encargos sociais sobre a mão de obra:</t>
  </si>
  <si>
    <t>(SEM DESONERAÇÃO)</t>
  </si>
  <si>
    <t>Localidade</t>
  </si>
  <si>
    <t>Horista</t>
  </si>
  <si>
    <t>Mensalista</t>
  </si>
  <si>
    <t>Acessar Fichas de Especificação Técnico dos Insumos</t>
  </si>
  <si>
    <t>Preços Medianos (R$):</t>
  </si>
  <si>
    <t>Classificação</t>
  </si>
  <si>
    <t>Código do
Insumo</t>
  </si>
  <si>
    <t>Descrição do Insumo</t>
  </si>
  <si>
    <t>Origem de
Preço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</si>
  <si>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</si>
  <si>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</si>
  <si>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</si>
  <si>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</si>
  <si>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</si>
  <si>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</si>
  <si>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</si>
  <si>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</si>
  <si>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</si>
  <si>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</si>
  <si>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</si>
  <si>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</si>
  <si>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</si>
  <si>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</si>
  <si>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</si>
  <si>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</si>
  <si>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</si>
  <si>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</si>
  <si>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</si>
  <si>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</si>
  <si>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</si>
  <si>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</si>
  <si>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</si>
  <si>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</si>
  <si>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</si>
  <si>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</si>
  <si>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</si>
  <si>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RELATÓRIO DE PREÇOS DE INSUMOS - ENCARGOS SOCIAIS COM DESONERAÇÃO</t>
  </si>
  <si>
    <t>(COM DESONERAÇÃO)</t>
  </si>
  <si>
    <t>RELATÓRIO DE PREÇOS DE INSUMOS - SEM ENCARGOS SOCIAIS</t>
  </si>
  <si>
    <t>RELATÓRIO DE CUSTOS DE COMPOSIÇÕES - ENCARGOS SOCIAIS SEM DESONERAÇÃO</t>
  </si>
  <si>
    <t>Observação:</t>
  </si>
  <si>
    <t>%AS (porcentagem Atribuído São Paulo) corresponde a porcentagem do custo total da</t>
  </si>
  <si>
    <t>composição que foi obtida utilizando preços de insumos de São Paulo por indisponibilidade</t>
  </si>
  <si>
    <t>dos preços de insumos necessários à composição no estado em questão. Custo zerado (hífen)</t>
  </si>
  <si>
    <t>indica que pelo menos um dos itens da composição não tem custo/preço.</t>
  </si>
  <si>
    <t>Grupo</t>
  </si>
  <si>
    <t>Código da
Composição</t>
  </si>
  <si>
    <t>Custo (R$)</t>
  </si>
  <si>
    <t>%AS</t>
  </si>
  <si>
    <t>RELATÓRIO DE CUSTOS DE COMPOSIÇÕES - ENCARGOS SOCIAIS COM DESONERAÇÃO</t>
  </si>
  <si>
    <t>RELATÓRIO DE CUSTOS DE COMPOSIÇÕES - SEM ENCARGOS SOCIAIS</t>
  </si>
  <si>
    <t>RELATÓRIO ANALÍTICO DE COMPOSIÇÕES</t>
  </si>
  <si>
    <t>Situações</t>
  </si>
  <si>
    <t>COM PREÇO</t>
  </si>
  <si>
    <t>SEM PREÇO</t>
  </si>
  <si>
    <t>COM CUSTO</t>
  </si>
  <si>
    <t>SEM CUSTO</t>
  </si>
  <si>
    <t>EM ESTUDO</t>
  </si>
  <si>
    <t>Insumos com preço coletado ou obtidos por aplicação de coeficiente em pelo menos uma UF.</t>
  </si>
  <si>
    <t>Insumos necessários como item, mas ainda não participam do processo de coleta preços (não aparecem em outros relatórios).</t>
  </si>
  <si>
    <t>Composições com custo calculado, com todos seus itens em situação COM CUSTO ou COM PREÇO.</t>
  </si>
  <si>
    <t>Composições sem custo calculado pela falta de custo/preço de pelo menos um de seus itens.</t>
  </si>
  <si>
    <t>Composições necessárias como item, porém atualmente em estudo (não aparecem em outros relatórios).</t>
  </si>
  <si>
    <t>Tipo Item</t>
  </si>
  <si>
    <t>Código do
Item</t>
  </si>
  <si>
    <t>Coeficiente</t>
  </si>
  <si>
    <t>Situação</t>
  </si>
  <si>
    <t>ANALÍTICO DE COMPOSIÇÃO COM CUSTO</t>
  </si>
  <si>
    <t>Funciona somente em versões do Excel que tenham disponíveis as fórmulas FILTRO, LET, PROCX</t>
  </si>
  <si>
    <t>Vide explicação das situações na aba Analítico</t>
  </si>
  <si>
    <t>Preencha abaixo:</t>
  </si>
  <si>
    <t>Encargos Sociais:</t>
  </si>
  <si>
    <t>SEM DESONERAÇÃO</t>
  </si>
  <si>
    <t>UF:</t>
  </si>
  <si>
    <t>Código da Composição:</t>
  </si>
  <si>
    <t>%AS (porcentagem Atribuído São Paulo) porcentagem da composição/item que foi obtida utilizando preços de insumos de São Paulo por indisponibilidade destes no estado em questão.</t>
  </si>
  <si>
    <t>Custo
Unit.</t>
  </si>
  <si>
    <t>Custo
Total</t>
  </si>
  <si>
    <t>RIO BRANCO</t>
  </si>
  <si>
    <t>MACEIO</t>
  </si>
  <si>
    <t>MANAUS</t>
  </si>
  <si>
    <t>MACAPA</t>
  </si>
  <si>
    <t>SALVADOR</t>
  </si>
  <si>
    <t>FORTALEZA</t>
  </si>
  <si>
    <t>BRASILIA</t>
  </si>
  <si>
    <t>VITORIA</t>
  </si>
  <si>
    <t>GOIANIA</t>
  </si>
  <si>
    <t>SAO LUIS</t>
  </si>
  <si>
    <t>BELO HORIZONTE</t>
  </si>
  <si>
    <t>CAMPO GRANDE</t>
  </si>
  <si>
    <t>CUIABA</t>
  </si>
  <si>
    <t>BELEM</t>
  </si>
  <si>
    <t>JOAO PESSOA</t>
  </si>
  <si>
    <t>RECIFE</t>
  </si>
  <si>
    <t>TERESINA</t>
  </si>
  <si>
    <t>CURITIBA</t>
  </si>
  <si>
    <t>RIO DE JANEIRO</t>
  </si>
  <si>
    <t>NATAL</t>
  </si>
  <si>
    <t>PORTO VELHO</t>
  </si>
  <si>
    <t>BOA VISTA</t>
  </si>
  <si>
    <t>PORTO ALEGRE</t>
  </si>
  <si>
    <t>FLORIANOPOLIS</t>
  </si>
  <si>
    <t>ARACAJU</t>
  </si>
  <si>
    <t>SAO PAULO</t>
  </si>
  <si>
    <t>PALMAS</t>
  </si>
  <si>
    <t>UN</t>
  </si>
  <si>
    <t>CR</t>
  </si>
  <si>
    <t>MATERIAL</t>
  </si>
  <si>
    <t>C</t>
  </si>
  <si>
    <t>ACETILENO - RECARGA DE GAS PARA CILINDRO (NAO INCLUI TROCA/MANUTENCAO DO CILINDRO)</t>
  </si>
  <si>
    <t>KG</t>
  </si>
  <si>
    <t>M3</t>
  </si>
  <si>
    <t>MAO DE OBRA</t>
  </si>
  <si>
    <t>H</t>
  </si>
  <si>
    <t>ENCARGOS COMPLEMENTARES</t>
  </si>
  <si>
    <t>ALIMENTACAO - HORISTA (COLETADO CAIXA - ENCARGOS COMPLEMENTARES)</t>
  </si>
  <si>
    <t>ARGAMASSA COLANTE AC II</t>
  </si>
  <si>
    <t>ARGAMASSA INDUSTRIALIZADA MULTIUSO, PARA REVESTIMENTO INTERNO E EXTERNO E ASSENTAMENTO DE BLOCOS DIVERSOS</t>
  </si>
  <si>
    <t>M2</t>
  </si>
  <si>
    <t>EPI - FAMILIA PEDREIRO - HORISTA (ENCARGOS COMPLEMENTARES - COLETADO CAIXA)</t>
  </si>
  <si>
    <t>EPI - FAMILIA SERVENTE - HORISTA (ENCARGOS COMPLEMENTARES - COLETADO CAIXA)</t>
  </si>
  <si>
    <t>EXAMES - HORISTA (COLETADO CAIXA - ENCARGOS COMPLEMENTARES)</t>
  </si>
  <si>
    <t>FERRAMENTAS - FAMILIA PEDREIRO - HORISTA (ENCARGOS COMPLEMENTARES - COLETADO CAIXA)</t>
  </si>
  <si>
    <t>FERRAMENTAS - FAMILIA SERVENTE - HORISTA (ENCARGOS COMPLEMENTARES - COLETADO CAIXA)</t>
  </si>
  <si>
    <t>OXIGENIO - RECARGA DE GAS PARA CILINDRO (NAO INCLUI TROCA/MANUTENCAO DO CILINDRO)</t>
  </si>
  <si>
    <t>PEDREIRO (HORISTA)</t>
  </si>
  <si>
    <t>PISO TATIL / PODOTATIL, LADRILHO HIDRAULICO/CONCRETO, *40 X 40* CM, E= 2,5* CM, PADRAO TATIL ALERTA OU DIRECIONAL, COR NATURAL</t>
  </si>
  <si>
    <t>REJUNTE CIMENTICIO, QUALQUER COR</t>
  </si>
  <si>
    <t>SEGURO - HORISTA (COLETADO CAIXA - ENCARGOS COMPLEMENTARES)</t>
  </si>
  <si>
    <t>SERRALHEIRO (HORISTA)</t>
  </si>
  <si>
    <t>SERVENTE DE OBRAS (HORISTA)</t>
  </si>
  <si>
    <t>TRANSPORTE - HORISTA (COLETADO CAIXA - ENCARGOS COMPLEMENTARES)</t>
  </si>
  <si>
    <t>Acessibilidade</t>
  </si>
  <si>
    <t>PISO PODOTÁTIL DE ALERTA OU DIRECIONAL, DE CONCRETO, ASSENTADO SOBRE ARGAMASSA. AF_03/2024</t>
  </si>
  <si>
    <t>Argamassas</t>
  </si>
  <si>
    <t>ARGAMASSA INDUSTRIALIZADA MULTIUSO PARA REVESTIMENTOS E ASSENTAMENTO DA ALVENARIA, PREPARO MANUAL. AF_08/2019</t>
  </si>
  <si>
    <t>Brises</t>
  </si>
  <si>
    <t>FORNECIMENTO E INSTALAÇÃO DE CONJUNTO DE BRISE EM REQUADRO DE ALUMÍNIO DESLIZANTE, COM PERFIS INTERNOS TUBULARES FIXOS, COM PINTURA ELETROSTÁTICA BRANCA, ACABAMENTO, 150 CM X 265 CM. AF_03/2024</t>
  </si>
  <si>
    <t>Custos Horários Produtivo e Improdutivo dos Equipamentos</t>
  </si>
  <si>
    <t>CHI</t>
  </si>
  <si>
    <t>BETONEIRA CAPACIDADE NOMINAL DE 250 L, CAPACIDADE DE MISTURA DE 175 L, MOTOR ELÉTRICO MONOFÁSICO POTÊNCIA 1CV - CHI DIURNO. AF_05/2023</t>
  </si>
  <si>
    <t>Depreciação, Juros, Impostos e Seguros, Manutenção e Materiais na Operação dos Equipamentos</t>
  </si>
  <si>
    <t>APARELHO PARA CORTE E SOLDA OXI-ACETILENO SOBRE RODAS, INCLUSIVE CILINDROS E MAÇARICOS - MATERIAIS NA OPERAÇÃO. AF_05/2023</t>
  </si>
  <si>
    <t>BETONEIRA CAPACIDADE NOMINAL DE 250 L, CAPACIDADE DE MISTURA DE 175 L, MOTOR ELÉTRICO MONOFÁSICO POTÊNCIA 1CV - DEPRECIAÇÃO. AF_05/2023</t>
  </si>
  <si>
    <t>BETONEIRA CAPACIDADE NOMINAL DE 250 L, CAPACIDADE DE MISTURA DE 175 L, MOTOR ELÉTRICO MONOFÁSICO POTÊNCIA 1CV - JUROS. AF_05/2023</t>
  </si>
  <si>
    <t>Livro SINAPI: Cálculos e Parâmetros</t>
  </si>
  <si>
    <t>CURSO DE CAPACITAÇÃO PARA PEDREIRO (ENCARGOS COMPLEMENTARES) - HORISTA</t>
  </si>
  <si>
    <t>CURSO DE CAPACITAÇÃO PARA SERRALHEIRO (ENCARGOS COMPLEMENTARES) - HORISTA</t>
  </si>
  <si>
    <t>CURSO DE CAPACITAÇÃO PARA SERVENTE (ENCARGOS COMPLEMENTARES) - HORISTA</t>
  </si>
  <si>
    <t>PEDREIRO COM ENCARGOS COMPLEMENTARES</t>
  </si>
  <si>
    <t>SERRALHEIRO COM ENCARGOS COMPLEMENTARES</t>
  </si>
  <si>
    <t>SERVENTE COM ENCARGOS COMPLEMENTARES</t>
  </si>
  <si>
    <t>COMPOSICAO</t>
  </si>
  <si>
    <t>INSUMO</t>
  </si>
  <si>
    <t>CONJUNTO DE BRISE / VENEZIANA EM REQUADRO DE ALUMINIO DESLIZANTE / DE CORRER PARA FACHADA, COM MARCO 150 CM X 265 CM, PAINEIS EM PERFIS FIXOS TUBULARES 25 MM X 50 MM, ESPACAMENTO 79 MM, TRILHO INTERNO SIMPLES, PINTURA ELETROSTATICA BRANCA, ACABAMENTO LISO, INCLUI ACESSORIOS DE INSTALACAO (PARAFUSOS E BUCHAS), NAO INCLUI INSTALACAO</t>
  </si>
  <si>
    <t>BETONEIRA, CAPACIDADE NOMINAL 250 L, CAPACIDADE DE MISTURA *200* L, MOTOR ELETRICO MONOFASICO, POTENCIA 1CV, SEM CARREGADOR</t>
  </si>
</sst>
</file>

<file path=xl/styles.xml><?xml version="1.0" encoding="utf-8"?>
<styleSheet xmlns="http://schemas.openxmlformats.org/spreadsheetml/2006/main">
  <numFmts count="5">
    <numFmt numFmtId="164" formatCode="0.00%"/>
    <numFmt numFmtId="165" formatCode="#,##0.00;- #,##0.00;-"/>
    <numFmt numFmtId="166" formatCode="0%;-0%;-"/>
    <numFmt numFmtId="167" formatCode="#,##0.0000000"/>
    <numFmt numFmtId="168" formatCode="#,##0.00"/>
  </numFmts>
  <fonts count="12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28"/>
      <color rgb="FFFFFFFF"/>
      <name val="Arial"/>
      <family val="2"/>
    </font>
    <font>
      <sz val="14"/>
      <color rgb="FFFFFFFF"/>
      <name val="Arial"/>
      <family val="2"/>
    </font>
    <font>
      <b/>
      <sz val="14"/>
      <color rgb="FFFFFFFF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5CA9"/>
      <name val="Arial"/>
      <family val="2"/>
    </font>
    <font>
      <u/>
      <sz val="11"/>
      <color theme="10"/>
      <name val="Calibri"/>
      <family val="2"/>
    </font>
    <font>
      <sz val="10"/>
      <color rgb="FFD9D9D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5CA9"/>
        <bgColor indexed="64"/>
      </patternFill>
    </fill>
    <fill>
      <patternFill patternType="solid">
        <fgColor rgb="FFF39200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DE9D9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horizontal="right"/>
    </xf>
    <xf numFmtId="0" fontId="7" fillId="5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centerContinuous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0" fontId="9" fillId="0" borderId="0" xfId="0" applyFont="1"/>
    <xf numFmtId="0" fontId="10" fillId="0" borderId="0" xfId="1" applyAlignment="1" applyProtection="1"/>
    <xf numFmtId="0" fontId="7" fillId="0" borderId="0" xfId="0" applyFont="1" applyAlignment="1">
      <alignment horizontal="center"/>
    </xf>
    <xf numFmtId="165" fontId="7" fillId="0" borderId="0" xfId="0" applyNumberFormat="1" applyFont="1"/>
    <xf numFmtId="166" fontId="7" fillId="0" borderId="0" xfId="0" applyNumberFormat="1" applyFont="1" applyAlignment="1">
      <alignment horizontal="left"/>
    </xf>
    <xf numFmtId="167" fontId="7" fillId="0" borderId="0" xfId="0" applyNumberFormat="1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centerContinuous"/>
    </xf>
    <xf numFmtId="0" fontId="7" fillId="5" borderId="2" xfId="0" applyFont="1" applyFill="1" applyBorder="1" applyAlignment="1">
      <alignment horizontal="center"/>
    </xf>
    <xf numFmtId="168" fontId="6" fillId="0" borderId="0" xfId="0" applyNumberFormat="1" applyFont="1"/>
    <xf numFmtId="166" fontId="6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2</xdr:col>
      <xdr:colOff>29312</xdr:colOff>
      <xdr:row>2</xdr:row>
      <xdr:rowOff>184131</xdr:rowOff>
    </xdr:to>
    <xdr:pic>
      <xdr:nvPicPr>
        <xdr:cNvPr id="2" name="Picture 1" descr="caixa_negativ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33350"/>
          <a:ext cx="2743937" cy="6222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ixa.gov.br/Downloads/sinapi-especificacoes-tecnicas-de-insumos/SINAPI_Fichas_Especificacao_Tecnica_Insumos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ixa.gov.br/Downloads/sinapi-especificacoes-tecnicas-de-insumos/SINAPI_Fichas_Especificacao_Tecnica_Insumos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ixa.gov.br/Downloads/sinapi-especificacoes-tecnicas-de-insumos/SINAPI_Fichas_Especificacao_Tecnica_Insumos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ixa.gov.br/Downloads/sinapi-cadernos-tecnicos/SINAPI-CT-ACESSIBILIDADE.pdf" TargetMode="External"/><Relationship Id="rId102" Type="http://schemas.openxmlformats.org/officeDocument/2006/relationships/hyperlink" Target="https://www.caixa.gov.br/Downloads/sinapi-cadernos-tecnicos/SINAPI-CT-ARGAMASSAS.pdf" TargetMode="External"/><Relationship Id="rId1095" Type="http://schemas.openxmlformats.org/officeDocument/2006/relationships/hyperlink" Target="https://www.caixa.gov.br/Downloads/sinapi-cadernos-tecnicos/SINAPI-CT-BRISES.pdf" TargetMode="External"/><Relationship Id="rId1483" Type="http://schemas.openxmlformats.org/officeDocument/2006/relationships/hyperlink" Target="https://www.caixa.gov.br/Downloads/sinapi-cadernos-tecnicos/SINAPI-CT-CUSTOS-HORARIOS-PRODUTIVO-E-IMPRODUTIVO-DOS-EQUIPAMENTOS.pdf" TargetMode="External"/><Relationship Id="rId1971" Type="http://schemas.openxmlformats.org/officeDocument/2006/relationships/hyperlink" Target="https://www.caixa.gov.br/Downloads/sinapi-cadernos-tecnicos/SINAPI-CT-DEPRECIACAO-JUROS-IMPOSTOS-E-SEGUROS-MANUTENCAO-E-MATERIAIS-NA-OPERACAO-DOS-EQUIPAMENTOS.pdf" TargetMode="External"/><Relationship Id="rId1989" Type="http://schemas.openxmlformats.org/officeDocument/2006/relationships/hyperlink" Target="https://www.caixa.gov.br/Downloads/sinapi-cadernos-tecnicos/SINAPI-CT-DEPRECIACAO-JUROS-IMPOSTOS-E-SEGUROS-MANUTENCAO-E-MATERIAIS-NA-OPERACAO-DOS-EQUIPAMENTOS.pdf" TargetMode="External"/><Relationship Id="rId1990" Type="http://schemas.openxmlformats.org/officeDocument/2006/relationships/hyperlink" Target="https://www.caixa.gov.br/Downloads/sinapi-cadernos-tecnicos/SINAPI-CT-DEPRECIACAO-JUROS-IMPOSTOS-E-SEGUROS-MANUTENCAO-E-MATERIAIS-NA-OPERACAO-DOS-EQUIPAMENTOS.pdf" TargetMode="External"/><Relationship Id="rId7239" Type="http://schemas.openxmlformats.org/officeDocument/2006/relationships/hyperlink" Target="https://www.caixa.gov.br/Downloads/sinapi-metodologia/Livro_SINAPI_Calculos_Parametros.pdf" TargetMode="External"/><Relationship Id="rId7250" Type="http://schemas.openxmlformats.org/officeDocument/2006/relationships/hyperlink" Target="https://www.caixa.gov.br/Downloads/sinapi-metodologia/Livro_SINAPI_Calculos_Parametros.pdf" TargetMode="External"/><Relationship Id="rId7252" Type="http://schemas.openxmlformats.org/officeDocument/2006/relationships/hyperlink" Target="https://www.caixa.gov.br/Downloads/sinapi-metodologia/Livro_SINAPI_Calculos_Parametros.pdf" TargetMode="External"/><Relationship Id="rId7367" Type="http://schemas.openxmlformats.org/officeDocument/2006/relationships/hyperlink" Target="https://www.caixa.gov.br/Downloads/sinapi-metodologia/Livro_SINAPI_Calculos_Parametros.pdf" TargetMode="External"/><Relationship Id="rId7378" Type="http://schemas.openxmlformats.org/officeDocument/2006/relationships/hyperlink" Target="https://www.caixa.gov.br/Downloads/sinapi-metodologia/Livro_SINAPI_Calculos_Parametros.pdf" TargetMode="External"/><Relationship Id="rId7380" Type="http://schemas.openxmlformats.org/officeDocument/2006/relationships/hyperlink" Target="https://www.caixa.gov.br/Downloads/sinapi-metodologia/Livro_SINAPI_Calculos_Parametros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ixa.gov.br/Downloads/sinapi-cadernos-tecnicos/SINAPI-CT-ACESSIBILIDADE.pdf" TargetMode="External"/><Relationship Id="rId102" Type="http://schemas.openxmlformats.org/officeDocument/2006/relationships/hyperlink" Target="https://www.caixa.gov.br/Downloads/sinapi-cadernos-tecnicos/SINAPI-CT-ARGAMASSAS.pdf" TargetMode="External"/><Relationship Id="rId1095" Type="http://schemas.openxmlformats.org/officeDocument/2006/relationships/hyperlink" Target="https://www.caixa.gov.br/Downloads/sinapi-cadernos-tecnicos/SINAPI-CT-BRISES.pdf" TargetMode="External"/><Relationship Id="rId1483" Type="http://schemas.openxmlformats.org/officeDocument/2006/relationships/hyperlink" Target="https://www.caixa.gov.br/Downloads/sinapi-cadernos-tecnicos/SINAPI-CT-CUSTOS-HORARIOS-PRODUTIVO-E-IMPRODUTIVO-DOS-EQUIPAMENTOS.pdf" TargetMode="External"/><Relationship Id="rId1971" Type="http://schemas.openxmlformats.org/officeDocument/2006/relationships/hyperlink" Target="https://www.caixa.gov.br/Downloads/sinapi-cadernos-tecnicos/SINAPI-CT-DEPRECIACAO-JUROS-IMPOSTOS-E-SEGUROS-MANUTENCAO-E-MATERIAIS-NA-OPERACAO-DOS-EQUIPAMENTOS.pdf" TargetMode="External"/><Relationship Id="rId1989" Type="http://schemas.openxmlformats.org/officeDocument/2006/relationships/hyperlink" Target="https://www.caixa.gov.br/Downloads/sinapi-cadernos-tecnicos/SINAPI-CT-DEPRECIACAO-JUROS-IMPOSTOS-E-SEGUROS-MANUTENCAO-E-MATERIAIS-NA-OPERACAO-DOS-EQUIPAMENTOS.pdf" TargetMode="External"/><Relationship Id="rId1990" Type="http://schemas.openxmlformats.org/officeDocument/2006/relationships/hyperlink" Target="https://www.caixa.gov.br/Downloads/sinapi-cadernos-tecnicos/SINAPI-CT-DEPRECIACAO-JUROS-IMPOSTOS-E-SEGUROS-MANUTENCAO-E-MATERIAIS-NA-OPERACAO-DOS-EQUIPAMENTOS.pdf" TargetMode="External"/><Relationship Id="rId7239" Type="http://schemas.openxmlformats.org/officeDocument/2006/relationships/hyperlink" Target="https://www.caixa.gov.br/Downloads/sinapi-metodologia/Livro_SINAPI_Calculos_Parametros.pdf" TargetMode="External"/><Relationship Id="rId7250" Type="http://schemas.openxmlformats.org/officeDocument/2006/relationships/hyperlink" Target="https://www.caixa.gov.br/Downloads/sinapi-metodologia/Livro_SINAPI_Calculos_Parametros.pdf" TargetMode="External"/><Relationship Id="rId7252" Type="http://schemas.openxmlformats.org/officeDocument/2006/relationships/hyperlink" Target="https://www.caixa.gov.br/Downloads/sinapi-metodologia/Livro_SINAPI_Calculos_Parametros.pdf" TargetMode="External"/><Relationship Id="rId7367" Type="http://schemas.openxmlformats.org/officeDocument/2006/relationships/hyperlink" Target="https://www.caixa.gov.br/Downloads/sinapi-metodologia/Livro_SINAPI_Calculos_Parametros.pdf" TargetMode="External"/><Relationship Id="rId7378" Type="http://schemas.openxmlformats.org/officeDocument/2006/relationships/hyperlink" Target="https://www.caixa.gov.br/Downloads/sinapi-metodologia/Livro_SINAPI_Calculos_Parametros.pdf" TargetMode="External"/><Relationship Id="rId7380" Type="http://schemas.openxmlformats.org/officeDocument/2006/relationships/hyperlink" Target="https://www.caixa.gov.br/Downloads/sinapi-metodologia/Livro_SINAPI_Calculos_Parametros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ixa.gov.br/Downloads/sinapi-cadernos-tecnicos/SINAPI-CT-ACESSIBILIDADE.pdf" TargetMode="External"/><Relationship Id="rId102" Type="http://schemas.openxmlformats.org/officeDocument/2006/relationships/hyperlink" Target="https://www.caixa.gov.br/Downloads/sinapi-cadernos-tecnicos/SINAPI-CT-ARGAMASSAS.pdf" TargetMode="External"/><Relationship Id="rId1095" Type="http://schemas.openxmlformats.org/officeDocument/2006/relationships/hyperlink" Target="https://www.caixa.gov.br/Downloads/sinapi-cadernos-tecnicos/SINAPI-CT-BRISES.pdf" TargetMode="External"/><Relationship Id="rId1483" Type="http://schemas.openxmlformats.org/officeDocument/2006/relationships/hyperlink" Target="https://www.caixa.gov.br/Downloads/sinapi-cadernos-tecnicos/SINAPI-CT-CUSTOS-HORARIOS-PRODUTIVO-E-IMPRODUTIVO-DOS-EQUIPAMENTOS.pdf" TargetMode="External"/><Relationship Id="rId1971" Type="http://schemas.openxmlformats.org/officeDocument/2006/relationships/hyperlink" Target="https://www.caixa.gov.br/Downloads/sinapi-cadernos-tecnicos/SINAPI-CT-DEPRECIACAO-JUROS-IMPOSTOS-E-SEGUROS-MANUTENCAO-E-MATERIAIS-NA-OPERACAO-DOS-EQUIPAMENTOS.pdf" TargetMode="External"/><Relationship Id="rId1989" Type="http://schemas.openxmlformats.org/officeDocument/2006/relationships/hyperlink" Target="https://www.caixa.gov.br/Downloads/sinapi-cadernos-tecnicos/SINAPI-CT-DEPRECIACAO-JUROS-IMPOSTOS-E-SEGUROS-MANUTENCAO-E-MATERIAIS-NA-OPERACAO-DOS-EQUIPAMENTOS.pdf" TargetMode="External"/><Relationship Id="rId1990" Type="http://schemas.openxmlformats.org/officeDocument/2006/relationships/hyperlink" Target="https://www.caixa.gov.br/Downloads/sinapi-cadernos-tecnicos/SINAPI-CT-DEPRECIACAO-JUROS-IMPOSTOS-E-SEGUROS-MANUTENCAO-E-MATERIAIS-NA-OPERACAO-DOS-EQUIPAMENTOS.pdf" TargetMode="External"/><Relationship Id="rId7239" Type="http://schemas.openxmlformats.org/officeDocument/2006/relationships/hyperlink" Target="https://www.caixa.gov.br/Downloads/sinapi-metodologia/Livro_SINAPI_Calculos_Parametros.pdf" TargetMode="External"/><Relationship Id="rId7250" Type="http://schemas.openxmlformats.org/officeDocument/2006/relationships/hyperlink" Target="https://www.caixa.gov.br/Downloads/sinapi-metodologia/Livro_SINAPI_Calculos_Parametros.pdf" TargetMode="External"/><Relationship Id="rId7252" Type="http://schemas.openxmlformats.org/officeDocument/2006/relationships/hyperlink" Target="https://www.caixa.gov.br/Downloads/sinapi-metodologia/Livro_SINAPI_Calculos_Parametros.pdf" TargetMode="External"/><Relationship Id="rId7367" Type="http://schemas.openxmlformats.org/officeDocument/2006/relationships/hyperlink" Target="https://www.caixa.gov.br/Downloads/sinapi-metodologia/Livro_SINAPI_Calculos_Parametros.pdf" TargetMode="External"/><Relationship Id="rId7378" Type="http://schemas.openxmlformats.org/officeDocument/2006/relationships/hyperlink" Target="https://www.caixa.gov.br/Downloads/sinapi-metodologia/Livro_SINAPI_Calculos_Parametros.pdf" TargetMode="External"/><Relationship Id="rId7380" Type="http://schemas.openxmlformats.org/officeDocument/2006/relationships/hyperlink" Target="https://www.caixa.gov.br/Downloads/sinapi-metodologia/Livro_SINAPI_Calculos_Parametro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1" width="3.7109375" customWidth="1"/>
    <col min="2" max="2" width="40.7109375" customWidth="1"/>
    <col min="3" max="3" width="2.28515625" customWidth="1"/>
    <col min="4" max="4" width="86.7109375" customWidth="1"/>
    <col min="5" max="5" width="3.7109375" customWidth="1"/>
  </cols>
  <sheetData>
    <row r="1" spans="1:5" ht="11" customHeight="1">
      <c r="A1" s="1"/>
      <c r="B1" s="1"/>
      <c r="C1" s="1"/>
      <c r="D1" s="1"/>
      <c r="E1" s="1"/>
    </row>
    <row r="2" spans="1:5" ht="35" customHeight="1">
      <c r="A2" s="1"/>
      <c r="B2" s="1"/>
      <c r="C2" s="1"/>
      <c r="D2" s="2" t="s">
        <v>1</v>
      </c>
      <c r="E2" s="1"/>
    </row>
    <row r="3" spans="1:5" ht="18" customHeight="1">
      <c r="A3" s="1"/>
      <c r="B3" s="1"/>
      <c r="C3" s="1"/>
      <c r="D3" s="3" t="s">
        <v>2</v>
      </c>
      <c r="E3" s="1"/>
    </row>
    <row r="4" spans="1:5" ht="11" customHeight="1">
      <c r="A4" s="1"/>
      <c r="B4" s="1"/>
      <c r="C4" s="1"/>
      <c r="D4" s="1"/>
      <c r="E4" s="1"/>
    </row>
    <row r="5" spans="1:5" ht="28" customHeight="1">
      <c r="A5" s="1"/>
      <c r="B5" s="4">
        <f>HYPERLINK("#Busca!$B$8","Pesquisa")</f>
        <v>0</v>
      </c>
      <c r="C5" s="1"/>
      <c r="D5" s="5" t="s">
        <v>3</v>
      </c>
      <c r="E5" s="1"/>
    </row>
    <row r="6" spans="1:5" ht="11" customHeight="1">
      <c r="A6" s="1"/>
      <c r="B6" s="1"/>
      <c r="C6" s="1"/>
      <c r="D6" s="1"/>
      <c r="E6" s="1"/>
    </row>
    <row r="7" spans="1:5" ht="28" customHeight="1">
      <c r="A7" s="1"/>
      <c r="B7" s="4">
        <f>HYPERLINK("#'ISD'!$F$11","Insumos Não Desonerado")</f>
        <v>0</v>
      </c>
      <c r="C7" s="1"/>
      <c r="D7" s="5" t="s">
        <v>4</v>
      </c>
      <c r="E7" s="1"/>
    </row>
    <row r="8" spans="1:5" ht="11" customHeight="1">
      <c r="A8" s="1"/>
      <c r="B8" s="1"/>
      <c r="C8" s="1"/>
      <c r="D8" s="1"/>
      <c r="E8" s="1"/>
    </row>
    <row r="9" spans="1:5" ht="28" customHeight="1">
      <c r="A9" s="1"/>
      <c r="B9" s="4">
        <f>HYPERLINK("#'ICD'!$F$11","Insumos Desonerado")</f>
        <v>0</v>
      </c>
      <c r="C9" s="1"/>
      <c r="D9" s="5" t="s">
        <v>5</v>
      </c>
      <c r="E9" s="1"/>
    </row>
    <row r="10" spans="1:5" ht="11" customHeight="1">
      <c r="A10" s="1"/>
      <c r="B10" s="1"/>
      <c r="C10" s="1"/>
      <c r="D10" s="1"/>
      <c r="E10" s="1"/>
    </row>
    <row r="11" spans="1:5" ht="28" customHeight="1">
      <c r="A11" s="1"/>
      <c r="B11" s="4">
        <f>HYPERLINK("#'ISE'!$F$11","Insumos Sem Encargos")</f>
        <v>0</v>
      </c>
      <c r="C11" s="1"/>
      <c r="D11" s="5" t="s">
        <v>6</v>
      </c>
      <c r="E11" s="1"/>
    </row>
    <row r="12" spans="1:5" ht="11" customHeight="1">
      <c r="A12" s="1"/>
      <c r="B12" s="1"/>
      <c r="C12" s="1"/>
      <c r="D12" s="1"/>
      <c r="E12" s="1"/>
    </row>
    <row r="13" spans="1:5" ht="28" customHeight="1">
      <c r="A13" s="1"/>
      <c r="B13" s="4">
        <f>HYPERLINK("#'CSD'!$E$11","Composições Não Desonerado")</f>
        <v>0</v>
      </c>
      <c r="C13" s="1"/>
      <c r="D13" s="5" t="s">
        <v>7</v>
      </c>
      <c r="E13" s="1"/>
    </row>
    <row r="14" spans="1:5" ht="11" customHeight="1">
      <c r="A14" s="1"/>
      <c r="B14" s="1"/>
      <c r="C14" s="1"/>
      <c r="D14" s="1"/>
      <c r="E14" s="1"/>
    </row>
    <row r="15" spans="1:5" ht="28" customHeight="1">
      <c r="A15" s="1"/>
      <c r="B15" s="4">
        <f>HYPERLINK("#'CCD'!$E$11","Composições Desonerado")</f>
        <v>0</v>
      </c>
      <c r="C15" s="1"/>
      <c r="D15" s="5" t="s">
        <v>8</v>
      </c>
      <c r="E15" s="1"/>
    </row>
    <row r="16" spans="1:5" ht="11" customHeight="1">
      <c r="A16" s="1"/>
      <c r="B16" s="1"/>
      <c r="C16" s="1"/>
      <c r="D16" s="1"/>
      <c r="E16" s="1"/>
    </row>
    <row r="17" spans="1:5" ht="28" customHeight="1">
      <c r="A17" s="1"/>
      <c r="B17" s="4">
        <f>HYPERLINK("#'CSE'!$E$11","Composições Sem Encargos")</f>
        <v>0</v>
      </c>
      <c r="C17" s="1"/>
      <c r="D17" s="5" t="s">
        <v>9</v>
      </c>
      <c r="E17" s="1"/>
    </row>
    <row r="18" spans="1:5" ht="11" customHeight="1">
      <c r="A18" s="1"/>
      <c r="B18" s="1"/>
      <c r="C18" s="1"/>
      <c r="D18" s="1"/>
      <c r="E18" s="1"/>
    </row>
    <row r="19" spans="1:5" ht="28" customHeight="1">
      <c r="A19" s="1"/>
      <c r="B19" s="4">
        <f>HYPERLINK("#Analítico!$A$11","Analítico")</f>
        <v>0</v>
      </c>
      <c r="C19" s="1"/>
      <c r="D19" s="5" t="s">
        <v>10</v>
      </c>
      <c r="E19" s="1"/>
    </row>
    <row r="20" spans="1:5" ht="11" customHeight="1">
      <c r="A20" s="1"/>
      <c r="B20" s="1"/>
      <c r="C20" s="1"/>
      <c r="D20" s="1"/>
      <c r="E20" s="1"/>
    </row>
    <row r="21" spans="1:5">
      <c r="A21" s="1"/>
      <c r="B21" s="4">
        <f>HYPERLINK("#'Analítico com Custo'!$C$8","Analítico com Custo")</f>
        <v>0</v>
      </c>
      <c r="C21" s="1"/>
      <c r="D21" s="5" t="s">
        <v>11</v>
      </c>
      <c r="E21" s="1"/>
    </row>
    <row r="22" spans="1:5">
      <c r="A22" s="1"/>
      <c r="B22" s="1"/>
      <c r="C22" s="1"/>
      <c r="D22" s="1"/>
      <c r="E2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17.7109375" customWidth="1"/>
    <col min="2" max="2" width="130.7109375" customWidth="1"/>
    <col min="3" max="3" width="10.7109375" customWidth="1"/>
  </cols>
  <sheetData>
    <row r="1" spans="1:3">
      <c r="A1" s="6" t="s">
        <v>0</v>
      </c>
    </row>
    <row r="2" spans="1:3">
      <c r="A2" s="7" t="s">
        <v>12</v>
      </c>
    </row>
    <row r="4" spans="1:3">
      <c r="B4" s="6" t="s">
        <v>13</v>
      </c>
    </row>
    <row r="5" spans="1:3">
      <c r="B5" s="8" t="s">
        <v>14</v>
      </c>
    </row>
    <row r="7" spans="1:3">
      <c r="A7" s="9" t="s">
        <v>15</v>
      </c>
      <c r="B7" s="10" t="s">
        <v>16</v>
      </c>
    </row>
    <row r="8" spans="1:3">
      <c r="A8" s="9" t="s">
        <v>17</v>
      </c>
      <c r="B8" s="10" t="s">
        <v>18</v>
      </c>
    </row>
    <row r="9" spans="1:3">
      <c r="A9" s="9" t="s">
        <v>19</v>
      </c>
      <c r="B9" s="10"/>
    </row>
    <row r="10" spans="1:3">
      <c r="B10" s="7">
        <f>COUNTIF($B$12:$B$15000,"&lt;&gt;")&amp;" RESULTADOS"</f>
        <v>0</v>
      </c>
    </row>
    <row r="11" spans="1:3">
      <c r="A11" s="11">
        <f>IF($B$7="insumos","Cód. Insumo",IF($B$7="composições","Cód. Composição",""))</f>
        <v>0</v>
      </c>
      <c r="B11" s="11" t="s">
        <v>20</v>
      </c>
      <c r="C11" s="11" t="s">
        <v>21</v>
      </c>
    </row>
    <row r="12" spans="1:3">
      <c r="A12" cm="1">
        <f t="array" ref="A12">IF($B$7="composições",_xlfn._xlws.SORT(_xlfn._xlws.FILTER('CSD'!B11:D15000,_xlfn.BYROW('CSD'!C11:C15000,_xlfn.LAMBDA(_xlpm.linha,AND(AND(ISNUMBER(SEARCH(_xlfn.TEXTSPLIT(($B$8)," "),_xlpm.linha))),NOT(OR(ISNUMBER(SEARCH(_xlfn.TEXTSPLIT(($B$9)," "),_xlpm.linha)))))))),2,1),IF($B$7="insumos",_xlfn._xlws.SORT(_xlfn._xlws.FILTER('ISD'!B11:D15000,_xlfn.BYROW('ISD'!C11:C15000,_xlfn.LAMBDA(_xlpm.linha,AND(AND(ISNUMBER(SEARCH(_xlfn.TEXTSPLIT(($B$8)," "),_xlpm.linha))),NOT(OR(ISNUMBER(SEARCH(_xlfn.TEXTSPLIT(($B$9)," "),_xlpm.linha)))))))),2,1),""))</f>
        <v>0</v>
      </c>
    </row>
  </sheetData>
  <dataValidations count="1">
    <dataValidation type="list" allowBlank="1" showInputMessage="1" showErrorMessage="1" sqref="B7">
      <formula1>"insumos,composições"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861"/>
  <sheetViews>
    <sheetView workbookViewId="0">
      <pane xSplit="5" ySplit="10" topLeftCell="F11" activePane="bottomRight" state="frozen"/>
      <selection pane="topRight" activeCell="F1" sqref="F1"/>
      <selection pane="bottomLeft" activeCell="A11" sqref="A11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60.7109375" customWidth="1"/>
    <col min="4" max="4" width="10.7109375" customWidth="1"/>
    <col min="5" max="5" width="11.7109375" customWidth="1"/>
    <col min="6" max="32" width="16.7109375" customWidth="1"/>
  </cols>
  <sheetData>
    <row r="1" spans="1:32">
      <c r="A1" s="6" t="s">
        <v>0</v>
      </c>
    </row>
    <row r="2" spans="1:32">
      <c r="A2" s="7" t="s">
        <v>26</v>
      </c>
    </row>
    <row r="3" spans="1:32">
      <c r="A3" s="7" t="s">
        <v>22</v>
      </c>
      <c r="B3" s="12" t="s">
        <v>23</v>
      </c>
      <c r="E3" s="13" t="s">
        <v>31</v>
      </c>
    </row>
    <row r="4" spans="1:32">
      <c r="A4" s="7" t="s">
        <v>24</v>
      </c>
      <c r="B4" s="12" t="s">
        <v>25</v>
      </c>
      <c r="E4" s="9" t="s">
        <v>32</v>
      </c>
      <c r="F4" s="11" t="s">
        <v>42</v>
      </c>
      <c r="G4" s="11" t="s">
        <v>43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48</v>
      </c>
      <c r="M4" s="11" t="s">
        <v>49</v>
      </c>
      <c r="N4" s="11" t="s">
        <v>50</v>
      </c>
      <c r="O4" s="11" t="s">
        <v>51</v>
      </c>
      <c r="P4" s="11" t="s">
        <v>52</v>
      </c>
      <c r="Q4" s="11" t="s">
        <v>53</v>
      </c>
      <c r="R4" s="11" t="s">
        <v>54</v>
      </c>
      <c r="S4" s="11" t="s">
        <v>55</v>
      </c>
      <c r="T4" s="11" t="s">
        <v>56</v>
      </c>
      <c r="U4" s="11" t="s">
        <v>57</v>
      </c>
      <c r="V4" s="11" t="s">
        <v>58</v>
      </c>
      <c r="W4" s="11" t="s">
        <v>59</v>
      </c>
      <c r="X4" s="11" t="s">
        <v>60</v>
      </c>
      <c r="Y4" s="11" t="s">
        <v>61</v>
      </c>
      <c r="Z4" s="11" t="s">
        <v>62</v>
      </c>
      <c r="AA4" s="11" t="s">
        <v>63</v>
      </c>
      <c r="AB4" s="11" t="s">
        <v>64</v>
      </c>
      <c r="AC4" s="11" t="s">
        <v>65</v>
      </c>
      <c r="AD4" s="11" t="s">
        <v>66</v>
      </c>
      <c r="AE4" s="11" t="s">
        <v>67</v>
      </c>
      <c r="AF4" s="11" t="s">
        <v>68</v>
      </c>
    </row>
    <row r="5" spans="1:32">
      <c r="E5" s="11" t="s">
        <v>33</v>
      </c>
      <c r="F5" s="14" t="s">
        <v>111</v>
      </c>
      <c r="G5" s="14" t="s">
        <v>112</v>
      </c>
      <c r="H5" s="14" t="s">
        <v>113</v>
      </c>
      <c r="I5" s="14" t="s">
        <v>114</v>
      </c>
      <c r="J5" s="14" t="s">
        <v>115</v>
      </c>
      <c r="K5" s="14" t="s">
        <v>116</v>
      </c>
      <c r="L5" s="14" t="s">
        <v>117</v>
      </c>
      <c r="M5" s="14" t="s">
        <v>118</v>
      </c>
      <c r="N5" s="14" t="s">
        <v>119</v>
      </c>
      <c r="O5" s="14" t="s">
        <v>120</v>
      </c>
      <c r="P5" s="14" t="s">
        <v>121</v>
      </c>
      <c r="Q5" s="14" t="s">
        <v>122</v>
      </c>
      <c r="R5" s="14" t="s">
        <v>123</v>
      </c>
      <c r="S5" s="14" t="s">
        <v>124</v>
      </c>
      <c r="T5" s="14" t="s">
        <v>125</v>
      </c>
      <c r="U5" s="14" t="s">
        <v>126</v>
      </c>
      <c r="V5" s="14" t="s">
        <v>127</v>
      </c>
      <c r="W5" s="14" t="s">
        <v>128</v>
      </c>
      <c r="X5" s="14" t="s">
        <v>129</v>
      </c>
      <c r="Y5" s="14" t="s">
        <v>130</v>
      </c>
      <c r="Z5" s="14" t="s">
        <v>131</v>
      </c>
      <c r="AA5" s="14" t="s">
        <v>132</v>
      </c>
      <c r="AB5" s="14" t="s">
        <v>133</v>
      </c>
      <c r="AC5" s="14" t="s">
        <v>134</v>
      </c>
      <c r="AD5" s="14" t="s">
        <v>135</v>
      </c>
      <c r="AE5" s="14" t="s">
        <v>136</v>
      </c>
      <c r="AF5" s="14" t="s">
        <v>137</v>
      </c>
    </row>
    <row r="6" spans="1:32">
      <c r="A6" s="6" t="s">
        <v>27</v>
      </c>
      <c r="B6" s="7" t="s">
        <v>28</v>
      </c>
      <c r="C6" s="7" t="s">
        <v>29</v>
      </c>
      <c r="E6" s="11" t="s">
        <v>34</v>
      </c>
      <c r="F6" s="15">
        <v>1.1261</v>
      </c>
      <c r="G6" s="15">
        <v>1.1612</v>
      </c>
      <c r="H6" s="15">
        <v>1.1416</v>
      </c>
      <c r="I6" s="15">
        <v>1.1518</v>
      </c>
      <c r="J6" s="15">
        <v>1.1773</v>
      </c>
      <c r="K6" s="15">
        <v>1.1561</v>
      </c>
      <c r="L6" s="15">
        <v>1.1008</v>
      </c>
      <c r="M6" s="15">
        <v>1.183</v>
      </c>
      <c r="N6" s="15">
        <v>1.0772</v>
      </c>
      <c r="O6" s="15">
        <v>1.1411</v>
      </c>
      <c r="P6" s="15">
        <v>1.1623</v>
      </c>
      <c r="Q6" s="15">
        <v>1.1571</v>
      </c>
      <c r="R6" s="15">
        <v>1.0533</v>
      </c>
      <c r="S6" s="15">
        <v>1.1942</v>
      </c>
      <c r="T6" s="15">
        <v>1.1819</v>
      </c>
      <c r="U6" s="15">
        <v>1.1463</v>
      </c>
      <c r="V6" s="15">
        <v>1.1378</v>
      </c>
      <c r="W6" s="15">
        <v>1.1628</v>
      </c>
      <c r="X6" s="15">
        <v>1.1249</v>
      </c>
      <c r="Y6" s="15">
        <v>1.1683</v>
      </c>
      <c r="Z6" s="15">
        <v>1.1571</v>
      </c>
      <c r="AA6" s="15">
        <v>1.1479</v>
      </c>
      <c r="AB6" s="15">
        <v>1.1195</v>
      </c>
      <c r="AC6" s="15">
        <v>1.1447</v>
      </c>
      <c r="AD6" s="15">
        <v>1.1151</v>
      </c>
      <c r="AE6" s="15">
        <v>1.1501</v>
      </c>
      <c r="AF6" s="15">
        <v>1.1523</v>
      </c>
    </row>
    <row r="7" spans="1:32">
      <c r="A7" s="16" t="s">
        <v>30</v>
      </c>
      <c r="E7" s="11" t="s">
        <v>35</v>
      </c>
      <c r="F7" s="15">
        <v>0.6903</v>
      </c>
      <c r="G7" s="15">
        <v>0.7125</v>
      </c>
      <c r="H7" s="15">
        <v>0.708</v>
      </c>
      <c r="I7" s="15">
        <v>0.7006</v>
      </c>
      <c r="J7" s="15">
        <v>0.7285</v>
      </c>
      <c r="K7" s="15">
        <v>0.7246</v>
      </c>
      <c r="L7" s="15">
        <v>0.6994</v>
      </c>
      <c r="M7" s="15">
        <v>0.7385</v>
      </c>
      <c r="N7" s="15">
        <v>0.6928</v>
      </c>
      <c r="O7" s="15">
        <v>0.713</v>
      </c>
      <c r="P7" s="15">
        <v>0.7383</v>
      </c>
      <c r="Q7" s="15">
        <v>0.7157</v>
      </c>
      <c r="R7" s="15">
        <v>0.6783</v>
      </c>
      <c r="S7" s="15">
        <v>0.727</v>
      </c>
      <c r="T7" s="15">
        <v>0.7266</v>
      </c>
      <c r="U7" s="15">
        <v>0.7067</v>
      </c>
      <c r="V7" s="15">
        <v>0.7159</v>
      </c>
      <c r="W7" s="15">
        <v>0.7242</v>
      </c>
      <c r="X7" s="15">
        <v>0.6966</v>
      </c>
      <c r="Y7" s="15">
        <v>0.7229</v>
      </c>
      <c r="Z7" s="15">
        <v>0.7065</v>
      </c>
      <c r="AA7" s="15">
        <v>0.7035</v>
      </c>
      <c r="AB7" s="15">
        <v>0.6929</v>
      </c>
      <c r="AC7" s="15">
        <v>0.7103</v>
      </c>
      <c r="AD7" s="15">
        <v>0.6972</v>
      </c>
      <c r="AE7" s="15">
        <v>0.7118</v>
      </c>
      <c r="AF7" s="15">
        <v>0.7198</v>
      </c>
    </row>
    <row r="9" spans="1:32">
      <c r="A9" s="17" t="s">
        <v>36</v>
      </c>
      <c r="E9" s="9" t="s">
        <v>37</v>
      </c>
    </row>
    <row r="10" spans="1:32">
      <c r="A10" s="11" t="s">
        <v>38</v>
      </c>
      <c r="B10" s="11" t="s">
        <v>39</v>
      </c>
      <c r="C10" s="11" t="s">
        <v>40</v>
      </c>
      <c r="D10" s="11" t="s">
        <v>21</v>
      </c>
      <c r="E10" s="11" t="s">
        <v>41</v>
      </c>
      <c r="F10" s="11" t="s">
        <v>42</v>
      </c>
      <c r="G10" s="11" t="s">
        <v>43</v>
      </c>
      <c r="H10" s="11" t="s">
        <v>44</v>
      </c>
      <c r="I10" s="11" t="s">
        <v>45</v>
      </c>
      <c r="J10" s="11" t="s">
        <v>46</v>
      </c>
      <c r="K10" s="11" t="s">
        <v>47</v>
      </c>
      <c r="L10" s="11" t="s">
        <v>48</v>
      </c>
      <c r="M10" s="11" t="s">
        <v>49</v>
      </c>
      <c r="N10" s="11" t="s">
        <v>50</v>
      </c>
      <c r="O10" s="11" t="s">
        <v>51</v>
      </c>
      <c r="P10" s="11" t="s">
        <v>52</v>
      </c>
      <c r="Q10" s="11" t="s">
        <v>53</v>
      </c>
      <c r="R10" s="11" t="s">
        <v>54</v>
      </c>
      <c r="S10" s="11" t="s">
        <v>55</v>
      </c>
      <c r="T10" s="11" t="s">
        <v>56</v>
      </c>
      <c r="U10" s="11" t="s">
        <v>57</v>
      </c>
      <c r="V10" s="11" t="s">
        <v>58</v>
      </c>
      <c r="W10" s="11" t="s">
        <v>59</v>
      </c>
      <c r="X10" s="11" t="s">
        <v>60</v>
      </c>
      <c r="Y10" s="11" t="s">
        <v>61</v>
      </c>
      <c r="Z10" s="11" t="s">
        <v>62</v>
      </c>
      <c r="AA10" s="11" t="s">
        <v>63</v>
      </c>
      <c r="AB10" s="11" t="s">
        <v>64</v>
      </c>
      <c r="AC10" s="11" t="s">
        <v>65</v>
      </c>
      <c r="AD10" s="11" t="s">
        <v>66</v>
      </c>
      <c r="AE10" s="11" t="s">
        <v>67</v>
      </c>
      <c r="AF10" s="11" t="s">
        <v>68</v>
      </c>
    </row>
    <row r="57" spans="1:32">
      <c r="A57" s="18" t="s">
        <v>140</v>
      </c>
      <c r="B57" s="18">
        <v>1</v>
      </c>
      <c r="C57" s="7" t="s">
        <v>142</v>
      </c>
      <c r="D57" s="18" t="s">
        <v>143</v>
      </c>
      <c r="E57" s="18" t="s">
        <v>141</v>
      </c>
      <c r="F57" s="19"/>
      <c r="G57" s="19">
        <v>133.33</v>
      </c>
      <c r="H57" s="19"/>
      <c r="I57" s="19"/>
      <c r="J57" s="19">
        <v>157.78</v>
      </c>
      <c r="K57" s="19">
        <v>101.13</v>
      </c>
      <c r="L57" s="19"/>
      <c r="M57" s="19">
        <v>105</v>
      </c>
      <c r="N57" s="19">
        <v>97.77</v>
      </c>
      <c r="O57" s="19"/>
      <c r="P57" s="19">
        <v>80</v>
      </c>
      <c r="Q57" s="19">
        <v>100</v>
      </c>
      <c r="R57" s="19">
        <v>119.64</v>
      </c>
      <c r="S57" s="19"/>
      <c r="T57" s="19"/>
      <c r="U57" s="19"/>
      <c r="V57" s="19"/>
      <c r="W57" s="19">
        <v>140</v>
      </c>
      <c r="X57" s="19"/>
      <c r="Y57" s="19"/>
      <c r="Z57" s="19"/>
      <c r="AA57" s="19"/>
      <c r="AB57" s="19">
        <v>110.5</v>
      </c>
      <c r="AC57" s="19"/>
      <c r="AD57" s="19"/>
      <c r="AE57" s="19">
        <v>110</v>
      </c>
      <c r="AF57" s="19"/>
    </row>
    <row r="184" spans="1:32">
      <c r="A184" s="18" t="s">
        <v>147</v>
      </c>
      <c r="B184" s="18">
        <v>37370</v>
      </c>
      <c r="C184" s="7" t="s">
        <v>148</v>
      </c>
      <c r="D184" s="18" t="s">
        <v>146</v>
      </c>
      <c r="E184" s="18" t="s">
        <v>141</v>
      </c>
      <c r="F184" s="19">
        <v>3.4</v>
      </c>
      <c r="G184" s="19">
        <v>2.68</v>
      </c>
      <c r="H184" s="19">
        <v>5.58</v>
      </c>
      <c r="I184" s="19">
        <v>0.66</v>
      </c>
      <c r="J184" s="19">
        <v>5</v>
      </c>
      <c r="K184" s="19">
        <v>4.15</v>
      </c>
      <c r="L184" s="19">
        <v>4.29</v>
      </c>
      <c r="M184" s="19">
        <v>7.63</v>
      </c>
      <c r="N184" s="19">
        <v>3.61</v>
      </c>
      <c r="O184" s="19">
        <v>2.2</v>
      </c>
      <c r="P184" s="19">
        <v>2.41</v>
      </c>
      <c r="Q184" s="19">
        <v>1.73</v>
      </c>
      <c r="R184" s="19">
        <v>2.9</v>
      </c>
      <c r="S184" s="19">
        <v>5.15</v>
      </c>
      <c r="T184" s="19">
        <v>1.82</v>
      </c>
      <c r="U184" s="19">
        <v>3.06</v>
      </c>
      <c r="V184" s="19">
        <v>2.49</v>
      </c>
      <c r="W184" s="19">
        <v>5.96</v>
      </c>
      <c r="X184" s="19">
        <v>4.78</v>
      </c>
      <c r="Y184" s="19">
        <v>4.93</v>
      </c>
      <c r="Z184" s="19">
        <v>3.76</v>
      </c>
      <c r="AA184" s="19">
        <v>3.52</v>
      </c>
      <c r="AB184" s="19">
        <v>1.82</v>
      </c>
      <c r="AC184" s="19">
        <v>0.01</v>
      </c>
      <c r="AD184" s="19">
        <v>2.96</v>
      </c>
      <c r="AE184" s="19">
        <v>4.48</v>
      </c>
      <c r="AF184" s="19">
        <v>2.39</v>
      </c>
    </row>
    <row r="317" spans="1:32">
      <c r="A317" s="18" t="s">
        <v>140</v>
      </c>
      <c r="B317" s="18">
        <v>34353</v>
      </c>
      <c r="C317" s="7" t="s">
        <v>149</v>
      </c>
      <c r="D317" s="18" t="s">
        <v>143</v>
      </c>
      <c r="E317" s="18" t="s">
        <v>139</v>
      </c>
      <c r="F317" s="19">
        <v>2.42</v>
      </c>
      <c r="G317" s="19">
        <v>1.86</v>
      </c>
      <c r="H317" s="19">
        <v>2.38</v>
      </c>
      <c r="I317" s="19">
        <v>2.1</v>
      </c>
      <c r="J317" s="19">
        <v>1.58</v>
      </c>
      <c r="K317" s="19">
        <v>2.17</v>
      </c>
      <c r="L317" s="19">
        <v>1.19</v>
      </c>
      <c r="M317" s="19">
        <v>1.35</v>
      </c>
      <c r="N317" s="19">
        <v>1.49</v>
      </c>
      <c r="O317" s="19">
        <v>1.91</v>
      </c>
      <c r="P317" s="19">
        <v>1.26</v>
      </c>
      <c r="Q317" s="19">
        <v>1.76</v>
      </c>
      <c r="R317" s="19">
        <v>2.32</v>
      </c>
      <c r="S317" s="19">
        <v>1.67</v>
      </c>
      <c r="T317" s="19">
        <v>1.49</v>
      </c>
      <c r="U317" s="19">
        <v>1.86</v>
      </c>
      <c r="V317" s="19">
        <v>1.35</v>
      </c>
      <c r="W317" s="19">
        <v>1.41</v>
      </c>
      <c r="X317" s="19">
        <v>1.3</v>
      </c>
      <c r="Y317" s="19">
        <v>1.82</v>
      </c>
      <c r="Z317" s="19">
        <v>1.99</v>
      </c>
      <c r="AA317" s="19">
        <v>3.09</v>
      </c>
      <c r="AB317" s="19">
        <v>1.49</v>
      </c>
      <c r="AC317" s="19">
        <v>1.3</v>
      </c>
      <c r="AD317" s="19">
        <v>1.73</v>
      </c>
      <c r="AE317" s="19">
        <v>1.49</v>
      </c>
      <c r="AF317" s="19">
        <v>1.39</v>
      </c>
    </row>
    <row r="320" spans="1:32">
      <c r="A320" s="18" t="s">
        <v>140</v>
      </c>
      <c r="B320" s="18">
        <v>371</v>
      </c>
      <c r="C320" s="7" t="s">
        <v>150</v>
      </c>
      <c r="D320" s="18" t="s">
        <v>143</v>
      </c>
      <c r="E320" s="18" t="s">
        <v>139</v>
      </c>
      <c r="F320" s="19">
        <v>1.42</v>
      </c>
      <c r="G320" s="19">
        <v>1.09</v>
      </c>
      <c r="H320" s="19">
        <v>1.39</v>
      </c>
      <c r="I320" s="19">
        <v>1.23</v>
      </c>
      <c r="J320" s="19">
        <v>0.92</v>
      </c>
      <c r="K320" s="19">
        <v>1.27</v>
      </c>
      <c r="L320" s="19">
        <v>0.6899999999999999</v>
      </c>
      <c r="M320" s="19">
        <v>0.79</v>
      </c>
      <c r="N320" s="19">
        <v>0.87</v>
      </c>
      <c r="O320" s="19">
        <v>1.12</v>
      </c>
      <c r="P320" s="19">
        <v>0.74</v>
      </c>
      <c r="Q320" s="19">
        <v>1.03</v>
      </c>
      <c r="R320" s="19">
        <v>1.36</v>
      </c>
      <c r="S320" s="19">
        <v>0.98</v>
      </c>
      <c r="T320" s="19">
        <v>0.87</v>
      </c>
      <c r="U320" s="19">
        <v>1.09</v>
      </c>
      <c r="V320" s="19">
        <v>0.79</v>
      </c>
      <c r="W320" s="19">
        <v>0.83</v>
      </c>
      <c r="X320" s="19">
        <v>0.76</v>
      </c>
      <c r="Y320" s="19">
        <v>1.07</v>
      </c>
      <c r="Z320" s="19">
        <v>1.16</v>
      </c>
      <c r="AA320" s="19">
        <v>1.81</v>
      </c>
      <c r="AB320" s="19">
        <v>0.87</v>
      </c>
      <c r="AC320" s="19">
        <v>0.76</v>
      </c>
      <c r="AD320" s="19">
        <v>1.01</v>
      </c>
      <c r="AE320" s="19">
        <v>0.87</v>
      </c>
      <c r="AF320" s="19">
        <v>0.8100000000000001</v>
      </c>
    </row>
    <row r="1932" spans="1:32">
      <c r="A1932" s="18" t="s">
        <v>147</v>
      </c>
      <c r="B1932" s="18">
        <v>43489</v>
      </c>
      <c r="C1932" s="7" t="s">
        <v>152</v>
      </c>
      <c r="D1932" s="18" t="s">
        <v>146</v>
      </c>
      <c r="E1932" s="18" t="s">
        <v>141</v>
      </c>
      <c r="F1932" s="19">
        <v>1.46</v>
      </c>
      <c r="G1932" s="19">
        <v>1.45</v>
      </c>
      <c r="H1932" s="19">
        <v>1.46</v>
      </c>
      <c r="I1932" s="19">
        <v>1.74</v>
      </c>
      <c r="J1932" s="19">
        <v>1.41</v>
      </c>
      <c r="K1932" s="19">
        <v>1.5</v>
      </c>
      <c r="L1932" s="19">
        <v>1.26</v>
      </c>
      <c r="M1932" s="19">
        <v>1.28</v>
      </c>
      <c r="N1932" s="19">
        <v>1.13</v>
      </c>
      <c r="O1932" s="19">
        <v>1.32</v>
      </c>
      <c r="P1932" s="19">
        <v>1.43</v>
      </c>
      <c r="Q1932" s="19">
        <v>1.43</v>
      </c>
      <c r="R1932" s="19">
        <v>1.72</v>
      </c>
      <c r="S1932" s="19">
        <v>1.76</v>
      </c>
      <c r="T1932" s="19">
        <v>1.68</v>
      </c>
      <c r="U1932" s="19">
        <v>1.47</v>
      </c>
      <c r="V1932" s="19">
        <v>1.81</v>
      </c>
      <c r="W1932" s="19">
        <v>1.64</v>
      </c>
      <c r="X1932" s="19">
        <v>1.71</v>
      </c>
      <c r="Y1932" s="19">
        <v>1.25</v>
      </c>
      <c r="Z1932" s="19">
        <v>1.56</v>
      </c>
      <c r="AA1932" s="19">
        <v>1.85</v>
      </c>
      <c r="AB1932" s="19">
        <v>1.62</v>
      </c>
      <c r="AC1932" s="19">
        <v>1.55</v>
      </c>
      <c r="AD1932" s="19">
        <v>1.28</v>
      </c>
      <c r="AE1932" s="19">
        <v>1.47</v>
      </c>
      <c r="AF1932" s="19">
        <v>1.6</v>
      </c>
    </row>
    <row r="1936" spans="1:32">
      <c r="A1936" s="18" t="s">
        <v>147</v>
      </c>
      <c r="B1936" s="18">
        <v>43491</v>
      </c>
      <c r="C1936" s="7" t="s">
        <v>153</v>
      </c>
      <c r="D1936" s="18" t="s">
        <v>146</v>
      </c>
      <c r="E1936" s="18" t="s">
        <v>141</v>
      </c>
      <c r="F1936" s="19">
        <v>1.53</v>
      </c>
      <c r="G1936" s="19">
        <v>1.52</v>
      </c>
      <c r="H1936" s="19">
        <v>1.53</v>
      </c>
      <c r="I1936" s="19">
        <v>1.82</v>
      </c>
      <c r="J1936" s="19">
        <v>1.48</v>
      </c>
      <c r="K1936" s="19">
        <v>1.57</v>
      </c>
      <c r="L1936" s="19">
        <v>1.32</v>
      </c>
      <c r="M1936" s="19">
        <v>1.34</v>
      </c>
      <c r="N1936" s="19">
        <v>1.18</v>
      </c>
      <c r="O1936" s="19">
        <v>1.38</v>
      </c>
      <c r="P1936" s="19">
        <v>1.5</v>
      </c>
      <c r="Q1936" s="19">
        <v>1.5</v>
      </c>
      <c r="R1936" s="19">
        <v>1.8</v>
      </c>
      <c r="S1936" s="19">
        <v>1.85</v>
      </c>
      <c r="T1936" s="19">
        <v>1.75</v>
      </c>
      <c r="U1936" s="19">
        <v>1.54</v>
      </c>
      <c r="V1936" s="19">
        <v>1.89</v>
      </c>
      <c r="W1936" s="19">
        <v>1.71</v>
      </c>
      <c r="X1936" s="19">
        <v>1.79</v>
      </c>
      <c r="Y1936" s="19">
        <v>1.31</v>
      </c>
      <c r="Z1936" s="19">
        <v>1.63</v>
      </c>
      <c r="AA1936" s="19">
        <v>1.94</v>
      </c>
      <c r="AB1936" s="19">
        <v>1.7</v>
      </c>
      <c r="AC1936" s="19">
        <v>1.62</v>
      </c>
      <c r="AD1936" s="19">
        <v>1.34</v>
      </c>
      <c r="AE1936" s="19">
        <v>1.54</v>
      </c>
      <c r="AF1936" s="19">
        <v>1.67</v>
      </c>
    </row>
    <row r="1993" spans="1:32">
      <c r="A1993" s="18" t="s">
        <v>147</v>
      </c>
      <c r="B1993" s="18">
        <v>37372</v>
      </c>
      <c r="C1993" s="7" t="s">
        <v>154</v>
      </c>
      <c r="D1993" s="18" t="s">
        <v>146</v>
      </c>
      <c r="E1993" s="18" t="s">
        <v>141</v>
      </c>
      <c r="F1993" s="19">
        <v>1.32</v>
      </c>
      <c r="G1993" s="19">
        <v>1.4</v>
      </c>
      <c r="H1993" s="19">
        <v>1.29</v>
      </c>
      <c r="I1993" s="19">
        <v>1.3</v>
      </c>
      <c r="J1993" s="19">
        <v>1.49</v>
      </c>
      <c r="K1993" s="19">
        <v>1.48</v>
      </c>
      <c r="L1993" s="19">
        <v>1.31</v>
      </c>
      <c r="M1993" s="19">
        <v>1.62</v>
      </c>
      <c r="N1993" s="19">
        <v>1.58</v>
      </c>
      <c r="O1993" s="19">
        <v>1.36</v>
      </c>
      <c r="P1993" s="19">
        <v>1.57</v>
      </c>
      <c r="Q1993" s="19">
        <v>1.67</v>
      </c>
      <c r="R1993" s="19">
        <v>1.62</v>
      </c>
      <c r="S1993" s="19">
        <v>1.51</v>
      </c>
      <c r="T1993" s="19">
        <v>1.56</v>
      </c>
      <c r="U1993" s="19">
        <v>1.24</v>
      </c>
      <c r="V1993" s="19">
        <v>1.42</v>
      </c>
      <c r="W1993" s="19">
        <v>1.58</v>
      </c>
      <c r="X1993" s="19">
        <v>1.25</v>
      </c>
      <c r="Y1993" s="19">
        <v>1.55</v>
      </c>
      <c r="Z1993" s="19">
        <v>1.52</v>
      </c>
      <c r="AA1993" s="19">
        <v>1.36</v>
      </c>
      <c r="AB1993" s="19">
        <v>1.36</v>
      </c>
      <c r="AC1993" s="19">
        <v>1.65</v>
      </c>
      <c r="AD1993" s="19">
        <v>1.39</v>
      </c>
      <c r="AE1993" s="19">
        <v>1.43</v>
      </c>
      <c r="AF1993" s="19">
        <v>1.59</v>
      </c>
    </row>
    <row r="2052" spans="1:32">
      <c r="A2052" s="18" t="s">
        <v>147</v>
      </c>
      <c r="B2052" s="18">
        <v>43465</v>
      </c>
      <c r="C2052" s="7" t="s">
        <v>155</v>
      </c>
      <c r="D2052" s="18" t="s">
        <v>146</v>
      </c>
      <c r="E2052" s="18" t="s">
        <v>141</v>
      </c>
      <c r="F2052" s="19">
        <v>0.7</v>
      </c>
      <c r="G2052" s="19">
        <v>0.6</v>
      </c>
      <c r="H2052" s="19">
        <v>0.57</v>
      </c>
      <c r="I2052" s="19">
        <v>0.65</v>
      </c>
      <c r="J2052" s="19">
        <v>0.59</v>
      </c>
      <c r="K2052" s="19">
        <v>0.6</v>
      </c>
      <c r="L2052" s="19">
        <v>0.71</v>
      </c>
      <c r="M2052" s="19">
        <v>0.68</v>
      </c>
      <c r="N2052" s="19">
        <v>0.62</v>
      </c>
      <c r="O2052" s="19">
        <v>0.73</v>
      </c>
      <c r="P2052" s="19">
        <v>0.8</v>
      </c>
      <c r="Q2052" s="19">
        <v>0.8100000000000001</v>
      </c>
      <c r="R2052" s="19">
        <v>0.74</v>
      </c>
      <c r="S2052" s="19">
        <v>0.65</v>
      </c>
      <c r="T2052" s="19">
        <v>0.63</v>
      </c>
      <c r="U2052" s="19">
        <v>0.6</v>
      </c>
      <c r="V2052" s="19">
        <v>0.9</v>
      </c>
      <c r="W2052" s="19">
        <v>0.6</v>
      </c>
      <c r="X2052" s="19">
        <v>0.64</v>
      </c>
      <c r="Y2052" s="19">
        <v>0.66</v>
      </c>
      <c r="Z2052" s="19">
        <v>0.74</v>
      </c>
      <c r="AA2052" s="19">
        <v>0.63</v>
      </c>
      <c r="AB2052" s="19">
        <v>0.71</v>
      </c>
      <c r="AC2052" s="19">
        <v>0.72</v>
      </c>
      <c r="AD2052" s="19">
        <v>0.61</v>
      </c>
      <c r="AE2052" s="19">
        <v>0.73</v>
      </c>
      <c r="AF2052" s="19">
        <v>0.83</v>
      </c>
    </row>
    <row r="2056" spans="1:32">
      <c r="A2056" s="18" t="s">
        <v>147</v>
      </c>
      <c r="B2056" s="18">
        <v>43467</v>
      </c>
      <c r="C2056" s="7" t="s">
        <v>156</v>
      </c>
      <c r="D2056" s="18" t="s">
        <v>146</v>
      </c>
      <c r="E2056" s="18" t="s">
        <v>141</v>
      </c>
      <c r="F2056" s="19">
        <v>0.6</v>
      </c>
      <c r="G2056" s="19">
        <v>0.48</v>
      </c>
      <c r="H2056" s="19">
        <v>0.57</v>
      </c>
      <c r="I2056" s="19">
        <v>0.61</v>
      </c>
      <c r="J2056" s="19">
        <v>0.47</v>
      </c>
      <c r="K2056" s="19">
        <v>0.57</v>
      </c>
      <c r="L2056" s="19">
        <v>0.58</v>
      </c>
      <c r="M2056" s="19">
        <v>0.57</v>
      </c>
      <c r="N2056" s="19">
        <v>0.5600000000000001</v>
      </c>
      <c r="O2056" s="19">
        <v>0.58</v>
      </c>
      <c r="P2056" s="19">
        <v>0.67</v>
      </c>
      <c r="Q2056" s="19">
        <v>0.49</v>
      </c>
      <c r="R2056" s="19">
        <v>0.6</v>
      </c>
      <c r="S2056" s="19">
        <v>0.5600000000000001</v>
      </c>
      <c r="T2056" s="19">
        <v>0.58</v>
      </c>
      <c r="U2056" s="19">
        <v>0.5</v>
      </c>
      <c r="V2056" s="19">
        <v>1</v>
      </c>
      <c r="W2056" s="19">
        <v>0.42</v>
      </c>
      <c r="X2056" s="19">
        <v>0.5600000000000001</v>
      </c>
      <c r="Y2056" s="19">
        <v>0.62</v>
      </c>
      <c r="Z2056" s="19">
        <v>0.63</v>
      </c>
      <c r="AA2056" s="19">
        <v>0.64</v>
      </c>
      <c r="AB2056" s="19">
        <v>0.57</v>
      </c>
      <c r="AC2056" s="19">
        <v>0.6</v>
      </c>
      <c r="AD2056" s="19">
        <v>0.49</v>
      </c>
      <c r="AE2056" s="19">
        <v>0.57</v>
      </c>
      <c r="AF2056" s="19">
        <v>0.6899999999999999</v>
      </c>
    </row>
    <row r="3133" spans="1:32">
      <c r="A3133" s="18" t="s">
        <v>140</v>
      </c>
      <c r="B3133" s="18">
        <v>2</v>
      </c>
      <c r="C3133" s="7" t="s">
        <v>157</v>
      </c>
      <c r="D3133" s="18" t="s">
        <v>144</v>
      </c>
      <c r="E3133" s="18" t="s">
        <v>139</v>
      </c>
      <c r="F3133" s="19"/>
      <c r="G3133" s="19">
        <v>29.22</v>
      </c>
      <c r="H3133" s="19"/>
      <c r="I3133" s="19"/>
      <c r="J3133" s="19">
        <v>34.58</v>
      </c>
      <c r="K3133" s="19">
        <v>22.16</v>
      </c>
      <c r="L3133" s="19"/>
      <c r="M3133" s="19">
        <v>23.01</v>
      </c>
      <c r="N3133" s="19">
        <v>21.42</v>
      </c>
      <c r="O3133" s="19"/>
      <c r="P3133" s="19">
        <v>17.53</v>
      </c>
      <c r="Q3133" s="19">
        <v>21.91</v>
      </c>
      <c r="R3133" s="19">
        <v>26.22</v>
      </c>
      <c r="S3133" s="19"/>
      <c r="T3133" s="19"/>
      <c r="U3133" s="19"/>
      <c r="V3133" s="19"/>
      <c r="W3133" s="19">
        <v>30.68</v>
      </c>
      <c r="X3133" s="19"/>
      <c r="Y3133" s="19"/>
      <c r="Z3133" s="19"/>
      <c r="AA3133" s="19"/>
      <c r="AB3133" s="19">
        <v>24.21</v>
      </c>
      <c r="AC3133" s="19"/>
      <c r="AD3133" s="19"/>
      <c r="AE3133" s="19">
        <v>24.1</v>
      </c>
      <c r="AF3133" s="19"/>
    </row>
    <row r="3258" spans="1:32">
      <c r="A3258" s="18" t="s">
        <v>145</v>
      </c>
      <c r="B3258" s="18">
        <v>4750</v>
      </c>
      <c r="C3258" s="7" t="s">
        <v>158</v>
      </c>
      <c r="D3258" s="18" t="s">
        <v>146</v>
      </c>
      <c r="E3258" s="18" t="s">
        <v>141</v>
      </c>
      <c r="F3258" s="19">
        <v>23.38</v>
      </c>
      <c r="G3258" s="19">
        <v>20.27</v>
      </c>
      <c r="H3258" s="19">
        <v>21.67</v>
      </c>
      <c r="I3258" s="19">
        <v>21.32</v>
      </c>
      <c r="J3258" s="19">
        <v>24.29</v>
      </c>
      <c r="K3258" s="19">
        <v>21.86</v>
      </c>
      <c r="L3258" s="19">
        <v>23.15</v>
      </c>
      <c r="M3258" s="19">
        <v>22.09</v>
      </c>
      <c r="N3258" s="19">
        <v>24.01</v>
      </c>
      <c r="O3258" s="19">
        <v>21.28</v>
      </c>
      <c r="P3258" s="19">
        <v>25.86</v>
      </c>
      <c r="Q3258" s="19">
        <v>21.26</v>
      </c>
      <c r="R3258" s="19">
        <v>22.29</v>
      </c>
      <c r="S3258" s="19">
        <v>21.92</v>
      </c>
      <c r="T3258" s="19">
        <v>21.6</v>
      </c>
      <c r="U3258" s="19">
        <v>22.53</v>
      </c>
      <c r="V3258" s="19">
        <v>21.8</v>
      </c>
      <c r="W3258" s="19">
        <v>28.95</v>
      </c>
      <c r="X3258" s="19">
        <v>30.32</v>
      </c>
      <c r="Y3258" s="19">
        <v>19.83</v>
      </c>
      <c r="Z3258" s="19">
        <v>22.99</v>
      </c>
      <c r="AA3258" s="19">
        <v>25.53</v>
      </c>
      <c r="AB3258" s="19">
        <v>22.76</v>
      </c>
      <c r="AC3258" s="19">
        <v>30.56</v>
      </c>
      <c r="AD3258" s="19">
        <v>20.45</v>
      </c>
      <c r="AE3258" s="19">
        <v>26.03</v>
      </c>
      <c r="AF3258" s="19">
        <v>21.3</v>
      </c>
    </row>
    <row r="3358" spans="1:32">
      <c r="A3358" s="18" t="s">
        <v>140</v>
      </c>
      <c r="B3358" s="18">
        <v>36178</v>
      </c>
      <c r="C3358" s="7" t="s">
        <v>159</v>
      </c>
      <c r="D3358" s="18" t="s">
        <v>138</v>
      </c>
      <c r="E3358" s="18" t="s">
        <v>139</v>
      </c>
      <c r="F3358" s="19">
        <v>28.02</v>
      </c>
      <c r="G3358" s="19">
        <v>14.34</v>
      </c>
      <c r="H3358" s="19">
        <v>22.95</v>
      </c>
      <c r="I3358" s="19">
        <v>20.85</v>
      </c>
      <c r="J3358" s="19">
        <v>15.44</v>
      </c>
      <c r="K3358" s="19">
        <v>14.34</v>
      </c>
      <c r="L3358" s="19">
        <v>19.44</v>
      </c>
      <c r="M3358" s="19">
        <v>16.55</v>
      </c>
      <c r="N3358" s="19">
        <v>17.83</v>
      </c>
      <c r="O3358" s="19">
        <v>15.44</v>
      </c>
      <c r="P3358" s="19">
        <v>15.54</v>
      </c>
      <c r="Q3358" s="19">
        <v>17.29</v>
      </c>
      <c r="R3358" s="19">
        <v>22.03</v>
      </c>
      <c r="S3358" s="19">
        <v>15.88</v>
      </c>
      <c r="T3358" s="19">
        <v>12.8</v>
      </c>
      <c r="U3358" s="19">
        <v>13.46</v>
      </c>
      <c r="V3358" s="19">
        <v>13.57</v>
      </c>
      <c r="W3358" s="19">
        <v>12.62</v>
      </c>
      <c r="X3358" s="19">
        <v>15.88</v>
      </c>
      <c r="Y3358" s="19">
        <v>15.56</v>
      </c>
      <c r="Z3358" s="19">
        <v>21.4</v>
      </c>
      <c r="AA3358" s="19">
        <v>28.68</v>
      </c>
      <c r="AB3358" s="19">
        <v>14.17</v>
      </c>
      <c r="AC3358" s="19">
        <v>12.81</v>
      </c>
      <c r="AD3358" s="19">
        <v>16.55</v>
      </c>
      <c r="AE3358" s="19">
        <v>18.3</v>
      </c>
      <c r="AF3358" s="19">
        <v>20.85</v>
      </c>
    </row>
    <row r="3730" spans="1:32">
      <c r="A3730" s="18" t="s">
        <v>140</v>
      </c>
      <c r="B3730" s="18">
        <v>34357</v>
      </c>
      <c r="C3730" s="7" t="s">
        <v>160</v>
      </c>
      <c r="D3730" s="18" t="s">
        <v>143</v>
      </c>
      <c r="E3730" s="18" t="s">
        <v>139</v>
      </c>
      <c r="F3730" s="19">
        <v>7.63</v>
      </c>
      <c r="G3730" s="19">
        <v>5.87</v>
      </c>
      <c r="H3730" s="19">
        <v>7.51</v>
      </c>
      <c r="I3730" s="19">
        <v>6.63</v>
      </c>
      <c r="J3730" s="19">
        <v>4.99</v>
      </c>
      <c r="K3730" s="19">
        <v>6.87</v>
      </c>
      <c r="L3730" s="19">
        <v>3.75</v>
      </c>
      <c r="M3730" s="19">
        <v>4.28</v>
      </c>
      <c r="N3730" s="19">
        <v>4.69</v>
      </c>
      <c r="O3730" s="19">
        <v>6.04</v>
      </c>
      <c r="P3730" s="19">
        <v>3.99</v>
      </c>
      <c r="Q3730" s="19">
        <v>5.57</v>
      </c>
      <c r="R3730" s="19">
        <v>7.34</v>
      </c>
      <c r="S3730" s="19">
        <v>5.28</v>
      </c>
      <c r="T3730" s="19">
        <v>4.69</v>
      </c>
      <c r="U3730" s="19">
        <v>5.87</v>
      </c>
      <c r="V3730" s="19">
        <v>4.28</v>
      </c>
      <c r="W3730" s="19">
        <v>4.46</v>
      </c>
      <c r="X3730" s="19">
        <v>4.11</v>
      </c>
      <c r="Y3730" s="19">
        <v>5.75</v>
      </c>
      <c r="Z3730" s="19">
        <v>6.28</v>
      </c>
      <c r="AA3730" s="19">
        <v>9.74</v>
      </c>
      <c r="AB3730" s="19">
        <v>4.69</v>
      </c>
      <c r="AC3730" s="19">
        <v>4.11</v>
      </c>
      <c r="AD3730" s="19">
        <v>5.46</v>
      </c>
      <c r="AE3730" s="19">
        <v>4.69</v>
      </c>
      <c r="AF3730" s="19">
        <v>4.4</v>
      </c>
    </row>
    <row r="3804" spans="1:32">
      <c r="A3804" s="18" t="s">
        <v>147</v>
      </c>
      <c r="B3804" s="18">
        <v>37373</v>
      </c>
      <c r="C3804" s="7" t="s">
        <v>161</v>
      </c>
      <c r="D3804" s="18" t="s">
        <v>146</v>
      </c>
      <c r="E3804" s="18" t="s">
        <v>141</v>
      </c>
      <c r="F3804" s="19">
        <v>0.11</v>
      </c>
      <c r="G3804" s="19">
        <v>0.11</v>
      </c>
      <c r="H3804" s="19">
        <v>0.11</v>
      </c>
      <c r="I3804" s="19">
        <v>0.01</v>
      </c>
      <c r="J3804" s="19">
        <v>0.11</v>
      </c>
      <c r="K3804" s="19">
        <v>0.11</v>
      </c>
      <c r="L3804" s="19">
        <v>0.11</v>
      </c>
      <c r="M3804" s="19">
        <v>0.11</v>
      </c>
      <c r="N3804" s="19">
        <v>0.1</v>
      </c>
      <c r="O3804" s="19">
        <v>0.11</v>
      </c>
      <c r="P3804" s="19">
        <v>0.11</v>
      </c>
      <c r="Q3804" s="19">
        <v>0.11</v>
      </c>
      <c r="R3804" s="19">
        <v>0.1</v>
      </c>
      <c r="S3804" s="19">
        <v>0.11</v>
      </c>
      <c r="T3804" s="19">
        <v>0.01</v>
      </c>
      <c r="U3804" s="19">
        <v>0.11</v>
      </c>
      <c r="V3804" s="19">
        <v>0.11</v>
      </c>
      <c r="W3804" s="19">
        <v>0.06</v>
      </c>
      <c r="X3804" s="19">
        <v>0.11</v>
      </c>
      <c r="Y3804" s="19">
        <v>0.11</v>
      </c>
      <c r="Z3804" s="19">
        <v>0.01</v>
      </c>
      <c r="AA3804" s="19">
        <v>0.01</v>
      </c>
      <c r="AB3804" s="19">
        <v>0.11</v>
      </c>
      <c r="AC3804" s="19">
        <v>0.11</v>
      </c>
      <c r="AD3804" s="19">
        <v>0.11</v>
      </c>
      <c r="AE3804" s="19">
        <v>0.11</v>
      </c>
      <c r="AF3804" s="19">
        <v>0.11</v>
      </c>
    </row>
    <row r="3825" spans="1:32">
      <c r="A3825" s="18" t="s">
        <v>145</v>
      </c>
      <c r="B3825" s="18">
        <v>6110</v>
      </c>
      <c r="C3825" s="7" t="s">
        <v>162</v>
      </c>
      <c r="D3825" s="18" t="s">
        <v>146</v>
      </c>
      <c r="E3825" s="18" t="s">
        <v>139</v>
      </c>
      <c r="F3825" s="19">
        <v>23.38</v>
      </c>
      <c r="G3825" s="19">
        <v>22.28</v>
      </c>
      <c r="H3825" s="19">
        <v>26.94</v>
      </c>
      <c r="I3825" s="19">
        <v>21.32</v>
      </c>
      <c r="J3825" s="19">
        <v>24.29</v>
      </c>
      <c r="K3825" s="19">
        <v>21.86</v>
      </c>
      <c r="L3825" s="19">
        <v>23.15</v>
      </c>
      <c r="M3825" s="19">
        <v>25.99</v>
      </c>
      <c r="N3825" s="19">
        <v>24.01</v>
      </c>
      <c r="O3825" s="19">
        <v>21.28</v>
      </c>
      <c r="P3825" s="19">
        <v>25.86</v>
      </c>
      <c r="Q3825" s="19">
        <v>21.76</v>
      </c>
      <c r="R3825" s="19">
        <v>22.29</v>
      </c>
      <c r="S3825" s="19">
        <v>21.92</v>
      </c>
      <c r="T3825" s="19">
        <v>21.6</v>
      </c>
      <c r="U3825" s="19">
        <v>22.53</v>
      </c>
      <c r="V3825" s="19">
        <v>21.8</v>
      </c>
      <c r="W3825" s="19">
        <v>28.95</v>
      </c>
      <c r="X3825" s="19">
        <v>30.32</v>
      </c>
      <c r="Y3825" s="19">
        <v>19.83</v>
      </c>
      <c r="Z3825" s="19">
        <v>22.99</v>
      </c>
      <c r="AA3825" s="19">
        <v>25.53</v>
      </c>
      <c r="AB3825" s="19">
        <v>22.76</v>
      </c>
      <c r="AC3825" s="19">
        <v>30.56</v>
      </c>
      <c r="AD3825" s="19">
        <v>20.45</v>
      </c>
      <c r="AE3825" s="19">
        <v>26.72</v>
      </c>
      <c r="AF3825" s="19">
        <v>21.3</v>
      </c>
    </row>
    <row r="3828" spans="1:32">
      <c r="A3828" s="18" t="s">
        <v>145</v>
      </c>
      <c r="B3828" s="18">
        <v>6111</v>
      </c>
      <c r="C3828" s="7" t="s">
        <v>163</v>
      </c>
      <c r="D3828" s="18" t="s">
        <v>146</v>
      </c>
      <c r="E3828" s="18" t="s">
        <v>141</v>
      </c>
      <c r="F3828" s="19">
        <v>16.28</v>
      </c>
      <c r="G3828" s="19">
        <v>15.92</v>
      </c>
      <c r="H3828" s="19">
        <v>16.01</v>
      </c>
      <c r="I3828" s="19">
        <v>15.85</v>
      </c>
      <c r="J3828" s="19">
        <v>16.04</v>
      </c>
      <c r="K3828" s="19">
        <v>15.89</v>
      </c>
      <c r="L3828" s="19">
        <v>15.65</v>
      </c>
      <c r="M3828" s="19">
        <v>16.69</v>
      </c>
      <c r="N3828" s="19">
        <v>15.3</v>
      </c>
      <c r="O3828" s="19">
        <v>15.77</v>
      </c>
      <c r="P3828" s="19">
        <v>17.36</v>
      </c>
      <c r="Q3828" s="19">
        <v>15.89</v>
      </c>
      <c r="R3828" s="19">
        <v>16.61</v>
      </c>
      <c r="S3828" s="19">
        <v>16.17</v>
      </c>
      <c r="T3828" s="19">
        <v>16.45</v>
      </c>
      <c r="U3828" s="19">
        <v>16.95</v>
      </c>
      <c r="V3828" s="19">
        <v>15.94</v>
      </c>
      <c r="W3828" s="19">
        <v>20.46</v>
      </c>
      <c r="X3828" s="19">
        <v>21.46</v>
      </c>
      <c r="Y3828" s="19">
        <v>15.98</v>
      </c>
      <c r="Z3828" s="19">
        <v>18.72</v>
      </c>
      <c r="AA3828" s="19">
        <v>15.95</v>
      </c>
      <c r="AB3828" s="19">
        <v>17.88</v>
      </c>
      <c r="AC3828" s="19">
        <v>21.06</v>
      </c>
      <c r="AD3828" s="19">
        <v>15.58</v>
      </c>
      <c r="AE3828" s="19">
        <v>21.5</v>
      </c>
      <c r="AF3828" s="19">
        <v>15.86</v>
      </c>
    </row>
    <row r="4369" spans="1:32">
      <c r="A4369" s="18" t="s">
        <v>147</v>
      </c>
      <c r="B4369" s="18">
        <v>37371</v>
      </c>
      <c r="C4369" s="7" t="s">
        <v>164</v>
      </c>
      <c r="D4369" s="18" t="s">
        <v>146</v>
      </c>
      <c r="E4369" s="18" t="s">
        <v>141</v>
      </c>
      <c r="F4369" s="19">
        <v>0.27</v>
      </c>
      <c r="G4369" s="19">
        <v>0.48</v>
      </c>
      <c r="H4369" s="19">
        <v>1.67</v>
      </c>
      <c r="I4369" s="19">
        <v>0.38</v>
      </c>
      <c r="J4369" s="19">
        <v>0.88</v>
      </c>
      <c r="K4369" s="19">
        <v>1.09</v>
      </c>
      <c r="L4369" s="19">
        <v>1.52</v>
      </c>
      <c r="M4369" s="19">
        <v>0.66</v>
      </c>
      <c r="N4369" s="19">
        <v>0.55</v>
      </c>
      <c r="O4369" s="19">
        <v>0.51</v>
      </c>
      <c r="P4369" s="19">
        <v>0.9</v>
      </c>
      <c r="Q4369" s="19">
        <v>1.04</v>
      </c>
      <c r="R4369" s="19">
        <v>0.7</v>
      </c>
      <c r="S4369" s="19">
        <v>1.19</v>
      </c>
      <c r="T4369" s="19">
        <v>0.78</v>
      </c>
      <c r="U4369" s="19">
        <v>0.5</v>
      </c>
      <c r="V4369" s="19">
        <v>0.48</v>
      </c>
      <c r="W4369" s="19">
        <v>0.79</v>
      </c>
      <c r="X4369" s="19">
        <v>1.72</v>
      </c>
      <c r="Y4369" s="19">
        <v>0.73</v>
      </c>
      <c r="Z4369" s="19">
        <v>0.08</v>
      </c>
      <c r="AA4369" s="19">
        <v>0.85</v>
      </c>
      <c r="AB4369" s="19">
        <v>1.02</v>
      </c>
      <c r="AC4369" s="19">
        <v>0.98</v>
      </c>
      <c r="AD4369" s="19">
        <v>0.63</v>
      </c>
      <c r="AE4369" s="19">
        <v>1.07</v>
      </c>
      <c r="AF4369" s="19">
        <v>0.7</v>
      </c>
    </row>
  </sheetData>
  <autoFilter ref="A10:AF130987"/>
  <hyperlinks>
    <hyperlink ref="A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861"/>
  <sheetViews>
    <sheetView workbookViewId="0">
      <pane xSplit="5" ySplit="10" topLeftCell="F11" activePane="bottomRight" state="frozen"/>
      <selection pane="topRight" activeCell="F1" sqref="F1"/>
      <selection pane="bottomLeft" activeCell="A11" sqref="A11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60.7109375" customWidth="1"/>
    <col min="4" max="4" width="10.7109375" customWidth="1"/>
    <col min="5" max="5" width="11.7109375" customWidth="1"/>
    <col min="6" max="32" width="16.7109375" customWidth="1"/>
  </cols>
  <sheetData>
    <row r="1" spans="1:32">
      <c r="A1" s="6" t="s">
        <v>0</v>
      </c>
    </row>
    <row r="2" spans="1:32">
      <c r="A2" s="7" t="s">
        <v>69</v>
      </c>
    </row>
    <row r="3" spans="1:32">
      <c r="A3" s="7" t="s">
        <v>22</v>
      </c>
      <c r="B3" s="12" t="s">
        <v>23</v>
      </c>
      <c r="E3" s="13" t="s">
        <v>31</v>
      </c>
    </row>
    <row r="4" spans="1:32">
      <c r="A4" s="7" t="s">
        <v>24</v>
      </c>
      <c r="B4" s="12" t="s">
        <v>25</v>
      </c>
      <c r="E4" s="9" t="s">
        <v>70</v>
      </c>
      <c r="F4" s="11" t="s">
        <v>42</v>
      </c>
      <c r="G4" s="11" t="s">
        <v>43</v>
      </c>
      <c r="H4" s="11" t="s">
        <v>44</v>
      </c>
      <c r="I4" s="11" t="s">
        <v>45</v>
      </c>
      <c r="J4" s="11" t="s">
        <v>46</v>
      </c>
      <c r="K4" s="11" t="s">
        <v>47</v>
      </c>
      <c r="L4" s="11" t="s">
        <v>48</v>
      </c>
      <c r="M4" s="11" t="s">
        <v>49</v>
      </c>
      <c r="N4" s="11" t="s">
        <v>50</v>
      </c>
      <c r="O4" s="11" t="s">
        <v>51</v>
      </c>
      <c r="P4" s="11" t="s">
        <v>52</v>
      </c>
      <c r="Q4" s="11" t="s">
        <v>53</v>
      </c>
      <c r="R4" s="11" t="s">
        <v>54</v>
      </c>
      <c r="S4" s="11" t="s">
        <v>55</v>
      </c>
      <c r="T4" s="11" t="s">
        <v>56</v>
      </c>
      <c r="U4" s="11" t="s">
        <v>57</v>
      </c>
      <c r="V4" s="11" t="s">
        <v>58</v>
      </c>
      <c r="W4" s="11" t="s">
        <v>59</v>
      </c>
      <c r="X4" s="11" t="s">
        <v>60</v>
      </c>
      <c r="Y4" s="11" t="s">
        <v>61</v>
      </c>
      <c r="Z4" s="11" t="s">
        <v>62</v>
      </c>
      <c r="AA4" s="11" t="s">
        <v>63</v>
      </c>
      <c r="AB4" s="11" t="s">
        <v>64</v>
      </c>
      <c r="AC4" s="11" t="s">
        <v>65</v>
      </c>
      <c r="AD4" s="11" t="s">
        <v>66</v>
      </c>
      <c r="AE4" s="11" t="s">
        <v>67</v>
      </c>
      <c r="AF4" s="11" t="s">
        <v>68</v>
      </c>
    </row>
    <row r="5" spans="1:32">
      <c r="E5" s="11" t="s">
        <v>33</v>
      </c>
      <c r="F5" s="14" t="s">
        <v>111</v>
      </c>
      <c r="G5" s="14" t="s">
        <v>112</v>
      </c>
      <c r="H5" s="14" t="s">
        <v>113</v>
      </c>
      <c r="I5" s="14" t="s">
        <v>114</v>
      </c>
      <c r="J5" s="14" t="s">
        <v>115</v>
      </c>
      <c r="K5" s="14" t="s">
        <v>116</v>
      </c>
      <c r="L5" s="14" t="s">
        <v>117</v>
      </c>
      <c r="M5" s="14" t="s">
        <v>118</v>
      </c>
      <c r="N5" s="14" t="s">
        <v>119</v>
      </c>
      <c r="O5" s="14" t="s">
        <v>120</v>
      </c>
      <c r="P5" s="14" t="s">
        <v>121</v>
      </c>
      <c r="Q5" s="14" t="s">
        <v>122</v>
      </c>
      <c r="R5" s="14" t="s">
        <v>123</v>
      </c>
      <c r="S5" s="14" t="s">
        <v>124</v>
      </c>
      <c r="T5" s="14" t="s">
        <v>125</v>
      </c>
      <c r="U5" s="14" t="s">
        <v>126</v>
      </c>
      <c r="V5" s="14" t="s">
        <v>127</v>
      </c>
      <c r="W5" s="14" t="s">
        <v>128</v>
      </c>
      <c r="X5" s="14" t="s">
        <v>129</v>
      </c>
      <c r="Y5" s="14" t="s">
        <v>130</v>
      </c>
      <c r="Z5" s="14" t="s">
        <v>131</v>
      </c>
      <c r="AA5" s="14" t="s">
        <v>132</v>
      </c>
      <c r="AB5" s="14" t="s">
        <v>133</v>
      </c>
      <c r="AC5" s="14" t="s">
        <v>134</v>
      </c>
      <c r="AD5" s="14" t="s">
        <v>135</v>
      </c>
      <c r="AE5" s="14" t="s">
        <v>136</v>
      </c>
      <c r="AF5" s="14" t="s">
        <v>137</v>
      </c>
    </row>
    <row r="6" spans="1:32">
      <c r="A6" s="6" t="s">
        <v>27</v>
      </c>
      <c r="B6" s="7" t="s">
        <v>28</v>
      </c>
      <c r="C6" s="7" t="s">
        <v>29</v>
      </c>
      <c r="E6" s="11" t="s">
        <v>34</v>
      </c>
      <c r="F6" s="15">
        <v>0.9688</v>
      </c>
      <c r="G6" s="15">
        <v>1.0013</v>
      </c>
      <c r="H6" s="15">
        <v>0.9835</v>
      </c>
      <c r="I6" s="15">
        <v>0.9923</v>
      </c>
      <c r="J6" s="15">
        <v>1.017</v>
      </c>
      <c r="K6" s="15">
        <v>0.9971</v>
      </c>
      <c r="L6" s="15">
        <v>0.9463</v>
      </c>
      <c r="M6" s="15">
        <v>1.0222</v>
      </c>
      <c r="N6" s="15">
        <v>0.9322</v>
      </c>
      <c r="O6" s="15">
        <v>0.9831</v>
      </c>
      <c r="P6" s="15">
        <v>1.0033</v>
      </c>
      <c r="Q6" s="15">
        <v>0.9956</v>
      </c>
      <c r="R6" s="15">
        <v>0.9089</v>
      </c>
      <c r="S6" s="15">
        <v>1.0326</v>
      </c>
      <c r="T6" s="15">
        <v>1.0206</v>
      </c>
      <c r="U6" s="15">
        <v>0.9883</v>
      </c>
      <c r="V6" s="15">
        <v>0.9796</v>
      </c>
      <c r="W6" s="15">
        <v>1.0025</v>
      </c>
      <c r="X6" s="15">
        <v>0.9688</v>
      </c>
      <c r="Y6" s="15">
        <v>1.0077</v>
      </c>
      <c r="Z6" s="15">
        <v>0.9961</v>
      </c>
      <c r="AA6" s="15">
        <v>0.9885</v>
      </c>
      <c r="AB6" s="15">
        <v>0.9612000000000001</v>
      </c>
      <c r="AC6" s="15">
        <v>0.9838</v>
      </c>
      <c r="AD6" s="15">
        <v>0.9588</v>
      </c>
      <c r="AE6" s="15">
        <v>0.9909</v>
      </c>
      <c r="AF6" s="15">
        <v>0.9923</v>
      </c>
    </row>
    <row r="7" spans="1:32">
      <c r="A7" s="16" t="s">
        <v>30</v>
      </c>
      <c r="E7" s="11" t="s">
        <v>35</v>
      </c>
      <c r="F7" s="15">
        <v>0.5653</v>
      </c>
      <c r="G7" s="15">
        <v>0.5859</v>
      </c>
      <c r="H7" s="15">
        <v>0.582</v>
      </c>
      <c r="I7" s="15">
        <v>0.5746</v>
      </c>
      <c r="J7" s="15">
        <v>0.6012999999999999</v>
      </c>
      <c r="K7" s="15">
        <v>0.5974</v>
      </c>
      <c r="L7" s="15">
        <v>0.5745</v>
      </c>
      <c r="M7" s="15">
        <v>0.6106</v>
      </c>
      <c r="N7" s="15">
        <v>0.5747</v>
      </c>
      <c r="O7" s="15">
        <v>0.5866</v>
      </c>
      <c r="P7" s="15">
        <v>0.6106</v>
      </c>
      <c r="Q7" s="15">
        <v>0.5874</v>
      </c>
      <c r="R7" s="15">
        <v>0.5603</v>
      </c>
      <c r="S7" s="15">
        <v>0.5998</v>
      </c>
      <c r="T7" s="15">
        <v>0.5991</v>
      </c>
      <c r="U7" s="15">
        <v>0.581</v>
      </c>
      <c r="V7" s="15">
        <v>0.5891</v>
      </c>
      <c r="W7" s="15">
        <v>0.5965</v>
      </c>
      <c r="X7" s="15">
        <v>0.572</v>
      </c>
      <c r="Y7" s="15">
        <v>0.5955</v>
      </c>
      <c r="Z7" s="15">
        <v>0.5792</v>
      </c>
      <c r="AA7" s="15">
        <v>0.5772</v>
      </c>
      <c r="AB7" s="15">
        <v>0.5667</v>
      </c>
      <c r="AC7" s="15">
        <v>0.5822000000000001</v>
      </c>
      <c r="AD7" s="15">
        <v>0.5718</v>
      </c>
      <c r="AE7" s="15">
        <v>0.5851</v>
      </c>
      <c r="AF7" s="15">
        <v>0.592</v>
      </c>
    </row>
    <row r="9" spans="1:32">
      <c r="A9" s="17" t="s">
        <v>36</v>
      </c>
      <c r="E9" s="9" t="s">
        <v>37</v>
      </c>
    </row>
    <row r="10" spans="1:32">
      <c r="A10" s="11" t="s">
        <v>38</v>
      </c>
      <c r="B10" s="11" t="s">
        <v>39</v>
      </c>
      <c r="C10" s="11" t="s">
        <v>40</v>
      </c>
      <c r="D10" s="11" t="s">
        <v>21</v>
      </c>
      <c r="E10" s="11" t="s">
        <v>41</v>
      </c>
      <c r="F10" s="11" t="s">
        <v>42</v>
      </c>
      <c r="G10" s="11" t="s">
        <v>43</v>
      </c>
      <c r="H10" s="11" t="s">
        <v>44</v>
      </c>
      <c r="I10" s="11" t="s">
        <v>45</v>
      </c>
      <c r="J10" s="11" t="s">
        <v>46</v>
      </c>
      <c r="K10" s="11" t="s">
        <v>47</v>
      </c>
      <c r="L10" s="11" t="s">
        <v>48</v>
      </c>
      <c r="M10" s="11" t="s">
        <v>49</v>
      </c>
      <c r="N10" s="11" t="s">
        <v>50</v>
      </c>
      <c r="O10" s="11" t="s">
        <v>51</v>
      </c>
      <c r="P10" s="11" t="s">
        <v>52</v>
      </c>
      <c r="Q10" s="11" t="s">
        <v>53</v>
      </c>
      <c r="R10" s="11" t="s">
        <v>54</v>
      </c>
      <c r="S10" s="11" t="s">
        <v>55</v>
      </c>
      <c r="T10" s="11" t="s">
        <v>56</v>
      </c>
      <c r="U10" s="11" t="s">
        <v>57</v>
      </c>
      <c r="V10" s="11" t="s">
        <v>58</v>
      </c>
      <c r="W10" s="11" t="s">
        <v>59</v>
      </c>
      <c r="X10" s="11" t="s">
        <v>60</v>
      </c>
      <c r="Y10" s="11" t="s">
        <v>61</v>
      </c>
      <c r="Z10" s="11" t="s">
        <v>62</v>
      </c>
      <c r="AA10" s="11" t="s">
        <v>63</v>
      </c>
      <c r="AB10" s="11" t="s">
        <v>64</v>
      </c>
      <c r="AC10" s="11" t="s">
        <v>65</v>
      </c>
      <c r="AD10" s="11" t="s">
        <v>66</v>
      </c>
      <c r="AE10" s="11" t="s">
        <v>67</v>
      </c>
      <c r="AF10" s="11" t="s">
        <v>68</v>
      </c>
    </row>
    <row r="57" spans="1:32">
      <c r="A57" s="18" t="s">
        <v>140</v>
      </c>
      <c r="B57" s="18">
        <v>1</v>
      </c>
      <c r="C57" s="7" t="s">
        <v>142</v>
      </c>
      <c r="D57" s="18" t="s">
        <v>143</v>
      </c>
      <c r="E57" s="18" t="s">
        <v>141</v>
      </c>
      <c r="F57" s="19"/>
      <c r="G57" s="19">
        <v>133.33</v>
      </c>
      <c r="H57" s="19"/>
      <c r="I57" s="19"/>
      <c r="J57" s="19">
        <v>157.78</v>
      </c>
      <c r="K57" s="19">
        <v>101.13</v>
      </c>
      <c r="L57" s="19"/>
      <c r="M57" s="19">
        <v>105</v>
      </c>
      <c r="N57" s="19">
        <v>97.77</v>
      </c>
      <c r="O57" s="19"/>
      <c r="P57" s="19">
        <v>80</v>
      </c>
      <c r="Q57" s="19">
        <v>100</v>
      </c>
      <c r="R57" s="19">
        <v>119.64</v>
      </c>
      <c r="S57" s="19"/>
      <c r="T57" s="19"/>
      <c r="U57" s="19"/>
      <c r="V57" s="19"/>
      <c r="W57" s="19">
        <v>140</v>
      </c>
      <c r="X57" s="19"/>
      <c r="Y57" s="19"/>
      <c r="Z57" s="19"/>
      <c r="AA57" s="19"/>
      <c r="AB57" s="19">
        <v>110.5</v>
      </c>
      <c r="AC57" s="19"/>
      <c r="AD57" s="19"/>
      <c r="AE57" s="19">
        <v>110</v>
      </c>
      <c r="AF57" s="19"/>
    </row>
    <row r="184" spans="1:32">
      <c r="A184" s="18" t="s">
        <v>147</v>
      </c>
      <c r="B184" s="18">
        <v>37370</v>
      </c>
      <c r="C184" s="7" t="s">
        <v>148</v>
      </c>
      <c r="D184" s="18" t="s">
        <v>146</v>
      </c>
      <c r="E184" s="18" t="s">
        <v>141</v>
      </c>
      <c r="F184" s="19">
        <v>3.4</v>
      </c>
      <c r="G184" s="19">
        <v>2.68</v>
      </c>
      <c r="H184" s="19">
        <v>5.58</v>
      </c>
      <c r="I184" s="19">
        <v>0.66</v>
      </c>
      <c r="J184" s="19">
        <v>5</v>
      </c>
      <c r="K184" s="19">
        <v>4.15</v>
      </c>
      <c r="L184" s="19">
        <v>4.29</v>
      </c>
      <c r="M184" s="19">
        <v>7.63</v>
      </c>
      <c r="N184" s="19">
        <v>3.61</v>
      </c>
      <c r="O184" s="19">
        <v>2.2</v>
      </c>
      <c r="P184" s="19">
        <v>2.41</v>
      </c>
      <c r="Q184" s="19">
        <v>1.73</v>
      </c>
      <c r="R184" s="19">
        <v>2.9</v>
      </c>
      <c r="S184" s="19">
        <v>5.15</v>
      </c>
      <c r="T184" s="19">
        <v>1.82</v>
      </c>
      <c r="U184" s="19">
        <v>3.06</v>
      </c>
      <c r="V184" s="19">
        <v>2.49</v>
      </c>
      <c r="W184" s="19">
        <v>5.96</v>
      </c>
      <c r="X184" s="19">
        <v>4.78</v>
      </c>
      <c r="Y184" s="19">
        <v>4.93</v>
      </c>
      <c r="Z184" s="19">
        <v>3.76</v>
      </c>
      <c r="AA184" s="19">
        <v>3.52</v>
      </c>
      <c r="AB184" s="19">
        <v>1.82</v>
      </c>
      <c r="AC184" s="19">
        <v>0.01</v>
      </c>
      <c r="AD184" s="19">
        <v>2.96</v>
      </c>
      <c r="AE184" s="19">
        <v>4.48</v>
      </c>
      <c r="AF184" s="19">
        <v>2.39</v>
      </c>
    </row>
    <row r="317" spans="1:32">
      <c r="A317" s="18" t="s">
        <v>140</v>
      </c>
      <c r="B317" s="18">
        <v>34353</v>
      </c>
      <c r="C317" s="7" t="s">
        <v>149</v>
      </c>
      <c r="D317" s="18" t="s">
        <v>143</v>
      </c>
      <c r="E317" s="18" t="s">
        <v>139</v>
      </c>
      <c r="F317" s="19">
        <v>2.42</v>
      </c>
      <c r="G317" s="19">
        <v>1.86</v>
      </c>
      <c r="H317" s="19">
        <v>2.38</v>
      </c>
      <c r="I317" s="19">
        <v>2.1</v>
      </c>
      <c r="J317" s="19">
        <v>1.58</v>
      </c>
      <c r="K317" s="19">
        <v>2.17</v>
      </c>
      <c r="L317" s="19">
        <v>1.19</v>
      </c>
      <c r="M317" s="19">
        <v>1.35</v>
      </c>
      <c r="N317" s="19">
        <v>1.49</v>
      </c>
      <c r="O317" s="19">
        <v>1.91</v>
      </c>
      <c r="P317" s="19">
        <v>1.26</v>
      </c>
      <c r="Q317" s="19">
        <v>1.76</v>
      </c>
      <c r="R317" s="19">
        <v>2.32</v>
      </c>
      <c r="S317" s="19">
        <v>1.67</v>
      </c>
      <c r="T317" s="19">
        <v>1.49</v>
      </c>
      <c r="U317" s="19">
        <v>1.86</v>
      </c>
      <c r="V317" s="19">
        <v>1.35</v>
      </c>
      <c r="W317" s="19">
        <v>1.41</v>
      </c>
      <c r="X317" s="19">
        <v>1.3</v>
      </c>
      <c r="Y317" s="19">
        <v>1.82</v>
      </c>
      <c r="Z317" s="19">
        <v>1.99</v>
      </c>
      <c r="AA317" s="19">
        <v>3.09</v>
      </c>
      <c r="AB317" s="19">
        <v>1.49</v>
      </c>
      <c r="AC317" s="19">
        <v>1.3</v>
      </c>
      <c r="AD317" s="19">
        <v>1.73</v>
      </c>
      <c r="AE317" s="19">
        <v>1.49</v>
      </c>
      <c r="AF317" s="19">
        <v>1.39</v>
      </c>
    </row>
    <row r="320" spans="1:32">
      <c r="A320" s="18" t="s">
        <v>140</v>
      </c>
      <c r="B320" s="18">
        <v>371</v>
      </c>
      <c r="C320" s="7" t="s">
        <v>150</v>
      </c>
      <c r="D320" s="18" t="s">
        <v>143</v>
      </c>
      <c r="E320" s="18" t="s">
        <v>139</v>
      </c>
      <c r="F320" s="19">
        <v>1.42</v>
      </c>
      <c r="G320" s="19">
        <v>1.09</v>
      </c>
      <c r="H320" s="19">
        <v>1.39</v>
      </c>
      <c r="I320" s="19">
        <v>1.23</v>
      </c>
      <c r="J320" s="19">
        <v>0.92</v>
      </c>
      <c r="K320" s="19">
        <v>1.27</v>
      </c>
      <c r="L320" s="19">
        <v>0.6899999999999999</v>
      </c>
      <c r="M320" s="19">
        <v>0.79</v>
      </c>
      <c r="N320" s="19">
        <v>0.87</v>
      </c>
      <c r="O320" s="19">
        <v>1.12</v>
      </c>
      <c r="P320" s="19">
        <v>0.74</v>
      </c>
      <c r="Q320" s="19">
        <v>1.03</v>
      </c>
      <c r="R320" s="19">
        <v>1.36</v>
      </c>
      <c r="S320" s="19">
        <v>0.98</v>
      </c>
      <c r="T320" s="19">
        <v>0.87</v>
      </c>
      <c r="U320" s="19">
        <v>1.09</v>
      </c>
      <c r="V320" s="19">
        <v>0.79</v>
      </c>
      <c r="W320" s="19">
        <v>0.83</v>
      </c>
      <c r="X320" s="19">
        <v>0.76</v>
      </c>
      <c r="Y320" s="19">
        <v>1.07</v>
      </c>
      <c r="Z320" s="19">
        <v>1.16</v>
      </c>
      <c r="AA320" s="19">
        <v>1.81</v>
      </c>
      <c r="AB320" s="19">
        <v>0.87</v>
      </c>
      <c r="AC320" s="19">
        <v>0.76</v>
      </c>
      <c r="AD320" s="19">
        <v>1.01</v>
      </c>
      <c r="AE320" s="19">
        <v>0.87</v>
      </c>
      <c r="AF320" s="19">
        <v>0.8100000000000001</v>
      </c>
    </row>
    <row r="1932" spans="1:32">
      <c r="A1932" s="18" t="s">
        <v>147</v>
      </c>
      <c r="B1932" s="18">
        <v>43489</v>
      </c>
      <c r="C1932" s="7" t="s">
        <v>152</v>
      </c>
      <c r="D1932" s="18" t="s">
        <v>146</v>
      </c>
      <c r="E1932" s="18" t="s">
        <v>141</v>
      </c>
      <c r="F1932" s="19">
        <v>1.46</v>
      </c>
      <c r="G1932" s="19">
        <v>1.45</v>
      </c>
      <c r="H1932" s="19">
        <v>1.46</v>
      </c>
      <c r="I1932" s="19">
        <v>1.74</v>
      </c>
      <c r="J1932" s="19">
        <v>1.41</v>
      </c>
      <c r="K1932" s="19">
        <v>1.5</v>
      </c>
      <c r="L1932" s="19">
        <v>1.26</v>
      </c>
      <c r="M1932" s="19">
        <v>1.28</v>
      </c>
      <c r="N1932" s="19">
        <v>1.13</v>
      </c>
      <c r="O1932" s="19">
        <v>1.32</v>
      </c>
      <c r="P1932" s="19">
        <v>1.43</v>
      </c>
      <c r="Q1932" s="19">
        <v>1.43</v>
      </c>
      <c r="R1932" s="19">
        <v>1.72</v>
      </c>
      <c r="S1932" s="19">
        <v>1.76</v>
      </c>
      <c r="T1932" s="19">
        <v>1.68</v>
      </c>
      <c r="U1932" s="19">
        <v>1.47</v>
      </c>
      <c r="V1932" s="19">
        <v>1.81</v>
      </c>
      <c r="W1932" s="19">
        <v>1.64</v>
      </c>
      <c r="X1932" s="19">
        <v>1.71</v>
      </c>
      <c r="Y1932" s="19">
        <v>1.25</v>
      </c>
      <c r="Z1932" s="19">
        <v>1.56</v>
      </c>
      <c r="AA1932" s="19">
        <v>1.85</v>
      </c>
      <c r="AB1932" s="19">
        <v>1.62</v>
      </c>
      <c r="AC1932" s="19">
        <v>1.55</v>
      </c>
      <c r="AD1932" s="19">
        <v>1.28</v>
      </c>
      <c r="AE1932" s="19">
        <v>1.47</v>
      </c>
      <c r="AF1932" s="19">
        <v>1.6</v>
      </c>
    </row>
    <row r="1936" spans="1:32">
      <c r="A1936" s="18" t="s">
        <v>147</v>
      </c>
      <c r="B1936" s="18">
        <v>43491</v>
      </c>
      <c r="C1936" s="7" t="s">
        <v>153</v>
      </c>
      <c r="D1936" s="18" t="s">
        <v>146</v>
      </c>
      <c r="E1936" s="18" t="s">
        <v>141</v>
      </c>
      <c r="F1936" s="19">
        <v>1.53</v>
      </c>
      <c r="G1936" s="19">
        <v>1.52</v>
      </c>
      <c r="H1936" s="19">
        <v>1.53</v>
      </c>
      <c r="I1936" s="19">
        <v>1.82</v>
      </c>
      <c r="J1936" s="19">
        <v>1.48</v>
      </c>
      <c r="K1936" s="19">
        <v>1.57</v>
      </c>
      <c r="L1936" s="19">
        <v>1.32</v>
      </c>
      <c r="M1936" s="19">
        <v>1.34</v>
      </c>
      <c r="N1936" s="19">
        <v>1.18</v>
      </c>
      <c r="O1936" s="19">
        <v>1.38</v>
      </c>
      <c r="P1936" s="19">
        <v>1.5</v>
      </c>
      <c r="Q1936" s="19">
        <v>1.5</v>
      </c>
      <c r="R1936" s="19">
        <v>1.8</v>
      </c>
      <c r="S1936" s="19">
        <v>1.85</v>
      </c>
      <c r="T1936" s="19">
        <v>1.75</v>
      </c>
      <c r="U1936" s="19">
        <v>1.54</v>
      </c>
      <c r="V1936" s="19">
        <v>1.89</v>
      </c>
      <c r="W1936" s="19">
        <v>1.71</v>
      </c>
      <c r="X1936" s="19">
        <v>1.79</v>
      </c>
      <c r="Y1936" s="19">
        <v>1.31</v>
      </c>
      <c r="Z1936" s="19">
        <v>1.63</v>
      </c>
      <c r="AA1936" s="19">
        <v>1.94</v>
      </c>
      <c r="AB1936" s="19">
        <v>1.7</v>
      </c>
      <c r="AC1936" s="19">
        <v>1.62</v>
      </c>
      <c r="AD1936" s="19">
        <v>1.34</v>
      </c>
      <c r="AE1936" s="19">
        <v>1.54</v>
      </c>
      <c r="AF1936" s="19">
        <v>1.67</v>
      </c>
    </row>
    <row r="1993" spans="1:32">
      <c r="A1993" s="18" t="s">
        <v>147</v>
      </c>
      <c r="B1993" s="18">
        <v>37372</v>
      </c>
      <c r="C1993" s="7" t="s">
        <v>154</v>
      </c>
      <c r="D1993" s="18" t="s">
        <v>146</v>
      </c>
      <c r="E1993" s="18" t="s">
        <v>141</v>
      </c>
      <c r="F1993" s="19">
        <v>1.32</v>
      </c>
      <c r="G1993" s="19">
        <v>1.4</v>
      </c>
      <c r="H1993" s="19">
        <v>1.29</v>
      </c>
      <c r="I1993" s="19">
        <v>1.3</v>
      </c>
      <c r="J1993" s="19">
        <v>1.49</v>
      </c>
      <c r="K1993" s="19">
        <v>1.48</v>
      </c>
      <c r="L1993" s="19">
        <v>1.31</v>
      </c>
      <c r="M1993" s="19">
        <v>1.62</v>
      </c>
      <c r="N1993" s="19">
        <v>1.58</v>
      </c>
      <c r="O1993" s="19">
        <v>1.36</v>
      </c>
      <c r="P1993" s="19">
        <v>1.57</v>
      </c>
      <c r="Q1993" s="19">
        <v>1.67</v>
      </c>
      <c r="R1993" s="19">
        <v>1.62</v>
      </c>
      <c r="S1993" s="19">
        <v>1.51</v>
      </c>
      <c r="T1993" s="19">
        <v>1.56</v>
      </c>
      <c r="U1993" s="19">
        <v>1.24</v>
      </c>
      <c r="V1993" s="19">
        <v>1.42</v>
      </c>
      <c r="W1993" s="19">
        <v>1.58</v>
      </c>
      <c r="X1993" s="19">
        <v>1.25</v>
      </c>
      <c r="Y1993" s="19">
        <v>1.55</v>
      </c>
      <c r="Z1993" s="19">
        <v>1.52</v>
      </c>
      <c r="AA1993" s="19">
        <v>1.36</v>
      </c>
      <c r="AB1993" s="19">
        <v>1.36</v>
      </c>
      <c r="AC1993" s="19">
        <v>1.65</v>
      </c>
      <c r="AD1993" s="19">
        <v>1.39</v>
      </c>
      <c r="AE1993" s="19">
        <v>1.43</v>
      </c>
      <c r="AF1993" s="19">
        <v>1.59</v>
      </c>
    </row>
    <row r="2052" spans="1:32">
      <c r="A2052" s="18" t="s">
        <v>147</v>
      </c>
      <c r="B2052" s="18">
        <v>43465</v>
      </c>
      <c r="C2052" s="7" t="s">
        <v>155</v>
      </c>
      <c r="D2052" s="18" t="s">
        <v>146</v>
      </c>
      <c r="E2052" s="18" t="s">
        <v>141</v>
      </c>
      <c r="F2052" s="19">
        <v>0.7</v>
      </c>
      <c r="G2052" s="19">
        <v>0.6</v>
      </c>
      <c r="H2052" s="19">
        <v>0.57</v>
      </c>
      <c r="I2052" s="19">
        <v>0.65</v>
      </c>
      <c r="J2052" s="19">
        <v>0.59</v>
      </c>
      <c r="K2052" s="19">
        <v>0.6</v>
      </c>
      <c r="L2052" s="19">
        <v>0.71</v>
      </c>
      <c r="M2052" s="19">
        <v>0.68</v>
      </c>
      <c r="N2052" s="19">
        <v>0.62</v>
      </c>
      <c r="O2052" s="19">
        <v>0.73</v>
      </c>
      <c r="P2052" s="19">
        <v>0.8</v>
      </c>
      <c r="Q2052" s="19">
        <v>0.8100000000000001</v>
      </c>
      <c r="R2052" s="19">
        <v>0.74</v>
      </c>
      <c r="S2052" s="19">
        <v>0.65</v>
      </c>
      <c r="T2052" s="19">
        <v>0.63</v>
      </c>
      <c r="U2052" s="19">
        <v>0.6</v>
      </c>
      <c r="V2052" s="19">
        <v>0.9</v>
      </c>
      <c r="W2052" s="19">
        <v>0.6</v>
      </c>
      <c r="X2052" s="19">
        <v>0.64</v>
      </c>
      <c r="Y2052" s="19">
        <v>0.66</v>
      </c>
      <c r="Z2052" s="19">
        <v>0.74</v>
      </c>
      <c r="AA2052" s="19">
        <v>0.63</v>
      </c>
      <c r="AB2052" s="19">
        <v>0.71</v>
      </c>
      <c r="AC2052" s="19">
        <v>0.72</v>
      </c>
      <c r="AD2052" s="19">
        <v>0.61</v>
      </c>
      <c r="AE2052" s="19">
        <v>0.73</v>
      </c>
      <c r="AF2052" s="19">
        <v>0.83</v>
      </c>
    </row>
    <row r="2056" spans="1:32">
      <c r="A2056" s="18" t="s">
        <v>147</v>
      </c>
      <c r="B2056" s="18">
        <v>43467</v>
      </c>
      <c r="C2056" s="7" t="s">
        <v>156</v>
      </c>
      <c r="D2056" s="18" t="s">
        <v>146</v>
      </c>
      <c r="E2056" s="18" t="s">
        <v>141</v>
      </c>
      <c r="F2056" s="19">
        <v>0.6</v>
      </c>
      <c r="G2056" s="19">
        <v>0.48</v>
      </c>
      <c r="H2056" s="19">
        <v>0.57</v>
      </c>
      <c r="I2056" s="19">
        <v>0.61</v>
      </c>
      <c r="J2056" s="19">
        <v>0.47</v>
      </c>
      <c r="K2056" s="19">
        <v>0.57</v>
      </c>
      <c r="L2056" s="19">
        <v>0.58</v>
      </c>
      <c r="M2056" s="19">
        <v>0.57</v>
      </c>
      <c r="N2056" s="19">
        <v>0.5600000000000001</v>
      </c>
      <c r="O2056" s="19">
        <v>0.58</v>
      </c>
      <c r="P2056" s="19">
        <v>0.67</v>
      </c>
      <c r="Q2056" s="19">
        <v>0.49</v>
      </c>
      <c r="R2056" s="19">
        <v>0.6</v>
      </c>
      <c r="S2056" s="19">
        <v>0.5600000000000001</v>
      </c>
      <c r="T2056" s="19">
        <v>0.58</v>
      </c>
      <c r="U2056" s="19">
        <v>0.5</v>
      </c>
      <c r="V2056" s="19">
        <v>1</v>
      </c>
      <c r="W2056" s="19">
        <v>0.42</v>
      </c>
      <c r="X2056" s="19">
        <v>0.5600000000000001</v>
      </c>
      <c r="Y2056" s="19">
        <v>0.62</v>
      </c>
      <c r="Z2056" s="19">
        <v>0.63</v>
      </c>
      <c r="AA2056" s="19">
        <v>0.64</v>
      </c>
      <c r="AB2056" s="19">
        <v>0.57</v>
      </c>
      <c r="AC2056" s="19">
        <v>0.6</v>
      </c>
      <c r="AD2056" s="19">
        <v>0.49</v>
      </c>
      <c r="AE2056" s="19">
        <v>0.57</v>
      </c>
      <c r="AF2056" s="19">
        <v>0.6899999999999999</v>
      </c>
    </row>
    <row r="3133" spans="1:32">
      <c r="A3133" s="18" t="s">
        <v>140</v>
      </c>
      <c r="B3133" s="18">
        <v>2</v>
      </c>
      <c r="C3133" s="7" t="s">
        <v>157</v>
      </c>
      <c r="D3133" s="18" t="s">
        <v>144</v>
      </c>
      <c r="E3133" s="18" t="s">
        <v>139</v>
      </c>
      <c r="F3133" s="19"/>
      <c r="G3133" s="19">
        <v>29.22</v>
      </c>
      <c r="H3133" s="19"/>
      <c r="I3133" s="19"/>
      <c r="J3133" s="19">
        <v>34.58</v>
      </c>
      <c r="K3133" s="19">
        <v>22.16</v>
      </c>
      <c r="L3133" s="19"/>
      <c r="M3133" s="19">
        <v>23.01</v>
      </c>
      <c r="N3133" s="19">
        <v>21.42</v>
      </c>
      <c r="O3133" s="19"/>
      <c r="P3133" s="19">
        <v>17.53</v>
      </c>
      <c r="Q3133" s="19">
        <v>21.91</v>
      </c>
      <c r="R3133" s="19">
        <v>26.22</v>
      </c>
      <c r="S3133" s="19"/>
      <c r="T3133" s="19"/>
      <c r="U3133" s="19"/>
      <c r="V3133" s="19"/>
      <c r="W3133" s="19">
        <v>30.68</v>
      </c>
      <c r="X3133" s="19"/>
      <c r="Y3133" s="19"/>
      <c r="Z3133" s="19"/>
      <c r="AA3133" s="19"/>
      <c r="AB3133" s="19">
        <v>24.21</v>
      </c>
      <c r="AC3133" s="19"/>
      <c r="AD3133" s="19"/>
      <c r="AE3133" s="19">
        <v>24.1</v>
      </c>
      <c r="AF3133" s="19"/>
    </row>
    <row r="3258" spans="1:32">
      <c r="A3258" s="18" t="s">
        <v>145</v>
      </c>
      <c r="B3258" s="18">
        <v>4750</v>
      </c>
      <c r="C3258" s="7" t="s">
        <v>158</v>
      </c>
      <c r="D3258" s="18" t="s">
        <v>146</v>
      </c>
      <c r="E3258" s="18" t="s">
        <v>141</v>
      </c>
      <c r="F3258" s="19">
        <v>21.65</v>
      </c>
      <c r="G3258" s="19">
        <v>18.77</v>
      </c>
      <c r="H3258" s="19">
        <v>20.07</v>
      </c>
      <c r="I3258" s="19">
        <v>19.74</v>
      </c>
      <c r="J3258" s="19">
        <v>22.5</v>
      </c>
      <c r="K3258" s="19">
        <v>20.25</v>
      </c>
      <c r="L3258" s="19">
        <v>21.44</v>
      </c>
      <c r="M3258" s="19">
        <v>20.46</v>
      </c>
      <c r="N3258" s="19">
        <v>22.33</v>
      </c>
      <c r="O3258" s="19">
        <v>19.71</v>
      </c>
      <c r="P3258" s="19">
        <v>23.95</v>
      </c>
      <c r="Q3258" s="19">
        <v>19.67</v>
      </c>
      <c r="R3258" s="19">
        <v>20.73</v>
      </c>
      <c r="S3258" s="19">
        <v>20.3</v>
      </c>
      <c r="T3258" s="19">
        <v>20</v>
      </c>
      <c r="U3258" s="19">
        <v>20.87</v>
      </c>
      <c r="V3258" s="19">
        <v>20.19</v>
      </c>
      <c r="W3258" s="19">
        <v>26.81</v>
      </c>
      <c r="X3258" s="19">
        <v>28.09</v>
      </c>
      <c r="Y3258" s="19">
        <v>18.37</v>
      </c>
      <c r="Z3258" s="19">
        <v>21.27</v>
      </c>
      <c r="AA3258" s="19">
        <v>23.64</v>
      </c>
      <c r="AB3258" s="19">
        <v>21.06</v>
      </c>
      <c r="AC3258" s="19">
        <v>28.26</v>
      </c>
      <c r="AD3258" s="19">
        <v>18.94</v>
      </c>
      <c r="AE3258" s="19">
        <v>24.1</v>
      </c>
      <c r="AF3258" s="19">
        <v>19.72</v>
      </c>
    </row>
    <row r="3358" spans="1:32">
      <c r="A3358" s="18" t="s">
        <v>140</v>
      </c>
      <c r="B3358" s="18">
        <v>36178</v>
      </c>
      <c r="C3358" s="7" t="s">
        <v>159</v>
      </c>
      <c r="D3358" s="18" t="s">
        <v>138</v>
      </c>
      <c r="E3358" s="18" t="s">
        <v>139</v>
      </c>
      <c r="F3358" s="19">
        <v>28.02</v>
      </c>
      <c r="G3358" s="19">
        <v>14.34</v>
      </c>
      <c r="H3358" s="19">
        <v>22.95</v>
      </c>
      <c r="I3358" s="19">
        <v>20.85</v>
      </c>
      <c r="J3358" s="19">
        <v>15.44</v>
      </c>
      <c r="K3358" s="19">
        <v>14.34</v>
      </c>
      <c r="L3358" s="19">
        <v>19.44</v>
      </c>
      <c r="M3358" s="19">
        <v>16.55</v>
      </c>
      <c r="N3358" s="19">
        <v>17.83</v>
      </c>
      <c r="O3358" s="19">
        <v>15.44</v>
      </c>
      <c r="P3358" s="19">
        <v>15.54</v>
      </c>
      <c r="Q3358" s="19">
        <v>17.29</v>
      </c>
      <c r="R3358" s="19">
        <v>22.03</v>
      </c>
      <c r="S3358" s="19">
        <v>15.88</v>
      </c>
      <c r="T3358" s="19">
        <v>12.8</v>
      </c>
      <c r="U3358" s="19">
        <v>13.46</v>
      </c>
      <c r="V3358" s="19">
        <v>13.57</v>
      </c>
      <c r="W3358" s="19">
        <v>12.62</v>
      </c>
      <c r="X3358" s="19">
        <v>15.88</v>
      </c>
      <c r="Y3358" s="19">
        <v>15.56</v>
      </c>
      <c r="Z3358" s="19">
        <v>21.4</v>
      </c>
      <c r="AA3358" s="19">
        <v>28.68</v>
      </c>
      <c r="AB3358" s="19">
        <v>14.17</v>
      </c>
      <c r="AC3358" s="19">
        <v>12.81</v>
      </c>
      <c r="AD3358" s="19">
        <v>16.55</v>
      </c>
      <c r="AE3358" s="19">
        <v>18.3</v>
      </c>
      <c r="AF3358" s="19">
        <v>20.85</v>
      </c>
    </row>
    <row r="3730" spans="1:32">
      <c r="A3730" s="18" t="s">
        <v>140</v>
      </c>
      <c r="B3730" s="18">
        <v>34357</v>
      </c>
      <c r="C3730" s="7" t="s">
        <v>160</v>
      </c>
      <c r="D3730" s="18" t="s">
        <v>143</v>
      </c>
      <c r="E3730" s="18" t="s">
        <v>139</v>
      </c>
      <c r="F3730" s="19">
        <v>7.63</v>
      </c>
      <c r="G3730" s="19">
        <v>5.87</v>
      </c>
      <c r="H3730" s="19">
        <v>7.51</v>
      </c>
      <c r="I3730" s="19">
        <v>6.63</v>
      </c>
      <c r="J3730" s="19">
        <v>4.99</v>
      </c>
      <c r="K3730" s="19">
        <v>6.87</v>
      </c>
      <c r="L3730" s="19">
        <v>3.75</v>
      </c>
      <c r="M3730" s="19">
        <v>4.28</v>
      </c>
      <c r="N3730" s="19">
        <v>4.69</v>
      </c>
      <c r="O3730" s="19">
        <v>6.04</v>
      </c>
      <c r="P3730" s="19">
        <v>3.99</v>
      </c>
      <c r="Q3730" s="19">
        <v>5.57</v>
      </c>
      <c r="R3730" s="19">
        <v>7.34</v>
      </c>
      <c r="S3730" s="19">
        <v>5.28</v>
      </c>
      <c r="T3730" s="19">
        <v>4.69</v>
      </c>
      <c r="U3730" s="19">
        <v>5.87</v>
      </c>
      <c r="V3730" s="19">
        <v>4.28</v>
      </c>
      <c r="W3730" s="19">
        <v>4.46</v>
      </c>
      <c r="X3730" s="19">
        <v>4.11</v>
      </c>
      <c r="Y3730" s="19">
        <v>5.75</v>
      </c>
      <c r="Z3730" s="19">
        <v>6.28</v>
      </c>
      <c r="AA3730" s="19">
        <v>9.74</v>
      </c>
      <c r="AB3730" s="19">
        <v>4.69</v>
      </c>
      <c r="AC3730" s="19">
        <v>4.11</v>
      </c>
      <c r="AD3730" s="19">
        <v>5.46</v>
      </c>
      <c r="AE3730" s="19">
        <v>4.69</v>
      </c>
      <c r="AF3730" s="19">
        <v>4.4</v>
      </c>
    </row>
    <row r="3804" spans="1:32">
      <c r="A3804" s="18" t="s">
        <v>147</v>
      </c>
      <c r="B3804" s="18">
        <v>37373</v>
      </c>
      <c r="C3804" s="7" t="s">
        <v>161</v>
      </c>
      <c r="D3804" s="18" t="s">
        <v>146</v>
      </c>
      <c r="E3804" s="18" t="s">
        <v>141</v>
      </c>
      <c r="F3804" s="19">
        <v>0.11</v>
      </c>
      <c r="G3804" s="19">
        <v>0.11</v>
      </c>
      <c r="H3804" s="19">
        <v>0.11</v>
      </c>
      <c r="I3804" s="19">
        <v>0.01</v>
      </c>
      <c r="J3804" s="19">
        <v>0.11</v>
      </c>
      <c r="K3804" s="19">
        <v>0.11</v>
      </c>
      <c r="L3804" s="19">
        <v>0.11</v>
      </c>
      <c r="M3804" s="19">
        <v>0.11</v>
      </c>
      <c r="N3804" s="19">
        <v>0.1</v>
      </c>
      <c r="O3804" s="19">
        <v>0.11</v>
      </c>
      <c r="P3804" s="19">
        <v>0.11</v>
      </c>
      <c r="Q3804" s="19">
        <v>0.11</v>
      </c>
      <c r="R3804" s="19">
        <v>0.1</v>
      </c>
      <c r="S3804" s="19">
        <v>0.11</v>
      </c>
      <c r="T3804" s="19">
        <v>0.01</v>
      </c>
      <c r="U3804" s="19">
        <v>0.11</v>
      </c>
      <c r="V3804" s="19">
        <v>0.11</v>
      </c>
      <c r="W3804" s="19">
        <v>0.06</v>
      </c>
      <c r="X3804" s="19">
        <v>0.11</v>
      </c>
      <c r="Y3804" s="19">
        <v>0.11</v>
      </c>
      <c r="Z3804" s="19">
        <v>0.01</v>
      </c>
      <c r="AA3804" s="19">
        <v>0.01</v>
      </c>
      <c r="AB3804" s="19">
        <v>0.11</v>
      </c>
      <c r="AC3804" s="19">
        <v>0.11</v>
      </c>
      <c r="AD3804" s="19">
        <v>0.11</v>
      </c>
      <c r="AE3804" s="19">
        <v>0.11</v>
      </c>
      <c r="AF3804" s="19">
        <v>0.11</v>
      </c>
    </row>
    <row r="3825" spans="1:32">
      <c r="A3825" s="18" t="s">
        <v>145</v>
      </c>
      <c r="B3825" s="18">
        <v>6110</v>
      </c>
      <c r="C3825" s="7" t="s">
        <v>162</v>
      </c>
      <c r="D3825" s="18" t="s">
        <v>146</v>
      </c>
      <c r="E3825" s="18" t="s">
        <v>139</v>
      </c>
      <c r="F3825" s="19">
        <v>21.65</v>
      </c>
      <c r="G3825" s="19">
        <v>20.63</v>
      </c>
      <c r="H3825" s="19">
        <v>24.95</v>
      </c>
      <c r="I3825" s="19">
        <v>19.74</v>
      </c>
      <c r="J3825" s="19">
        <v>22.5</v>
      </c>
      <c r="K3825" s="19">
        <v>20.25</v>
      </c>
      <c r="L3825" s="19">
        <v>21.44</v>
      </c>
      <c r="M3825" s="19">
        <v>24.08</v>
      </c>
      <c r="N3825" s="19">
        <v>22.33</v>
      </c>
      <c r="O3825" s="19">
        <v>19.71</v>
      </c>
      <c r="P3825" s="19">
        <v>23.95</v>
      </c>
      <c r="Q3825" s="19">
        <v>20.13</v>
      </c>
      <c r="R3825" s="19">
        <v>20.73</v>
      </c>
      <c r="S3825" s="19">
        <v>20.3</v>
      </c>
      <c r="T3825" s="19">
        <v>20</v>
      </c>
      <c r="U3825" s="19">
        <v>20.87</v>
      </c>
      <c r="V3825" s="19">
        <v>20.19</v>
      </c>
      <c r="W3825" s="19">
        <v>26.81</v>
      </c>
      <c r="X3825" s="19">
        <v>28.09</v>
      </c>
      <c r="Y3825" s="19">
        <v>18.37</v>
      </c>
      <c r="Z3825" s="19">
        <v>21.27</v>
      </c>
      <c r="AA3825" s="19">
        <v>23.64</v>
      </c>
      <c r="AB3825" s="19">
        <v>21.06</v>
      </c>
      <c r="AC3825" s="19">
        <v>28.26</v>
      </c>
      <c r="AD3825" s="19">
        <v>18.94</v>
      </c>
      <c r="AE3825" s="19">
        <v>24.74</v>
      </c>
      <c r="AF3825" s="19">
        <v>19.72</v>
      </c>
    </row>
    <row r="3828" spans="1:32">
      <c r="A3828" s="18" t="s">
        <v>145</v>
      </c>
      <c r="B3828" s="18">
        <v>6111</v>
      </c>
      <c r="C3828" s="7" t="s">
        <v>163</v>
      </c>
      <c r="D3828" s="18" t="s">
        <v>146</v>
      </c>
      <c r="E3828" s="18" t="s">
        <v>141</v>
      </c>
      <c r="F3828" s="19">
        <v>15.08</v>
      </c>
      <c r="G3828" s="19">
        <v>14.74</v>
      </c>
      <c r="H3828" s="19">
        <v>14.83</v>
      </c>
      <c r="I3828" s="19">
        <v>14.68</v>
      </c>
      <c r="J3828" s="19">
        <v>14.86</v>
      </c>
      <c r="K3828" s="19">
        <v>14.71</v>
      </c>
      <c r="L3828" s="19">
        <v>14.49</v>
      </c>
      <c r="M3828" s="19">
        <v>15.46</v>
      </c>
      <c r="N3828" s="19">
        <v>14.24</v>
      </c>
      <c r="O3828" s="19">
        <v>14.61</v>
      </c>
      <c r="P3828" s="19">
        <v>16.08</v>
      </c>
      <c r="Q3828" s="19">
        <v>14.7</v>
      </c>
      <c r="R3828" s="19">
        <v>15.44</v>
      </c>
      <c r="S3828" s="19">
        <v>14.98</v>
      </c>
      <c r="T3828" s="19">
        <v>15.23</v>
      </c>
      <c r="U3828" s="19">
        <v>15.7</v>
      </c>
      <c r="V3828" s="19">
        <v>14.76</v>
      </c>
      <c r="W3828" s="19">
        <v>18.94</v>
      </c>
      <c r="X3828" s="19">
        <v>19.88</v>
      </c>
      <c r="Y3828" s="19">
        <v>14.79</v>
      </c>
      <c r="Z3828" s="19">
        <v>17.32</v>
      </c>
      <c r="AA3828" s="19">
        <v>14.77</v>
      </c>
      <c r="AB3828" s="19">
        <v>16.55</v>
      </c>
      <c r="AC3828" s="19">
        <v>19.48</v>
      </c>
      <c r="AD3828" s="19">
        <v>14.43</v>
      </c>
      <c r="AE3828" s="19">
        <v>19.9</v>
      </c>
      <c r="AF3828" s="19">
        <v>14.68</v>
      </c>
    </row>
    <row r="4369" spans="1:32">
      <c r="A4369" s="18" t="s">
        <v>147</v>
      </c>
      <c r="B4369" s="18">
        <v>37371</v>
      </c>
      <c r="C4369" s="7" t="s">
        <v>164</v>
      </c>
      <c r="D4369" s="18" t="s">
        <v>146</v>
      </c>
      <c r="E4369" s="18" t="s">
        <v>141</v>
      </c>
      <c r="F4369" s="19">
        <v>0.27</v>
      </c>
      <c r="G4369" s="19">
        <v>0.48</v>
      </c>
      <c r="H4369" s="19">
        <v>1.67</v>
      </c>
      <c r="I4369" s="19">
        <v>0.38</v>
      </c>
      <c r="J4369" s="19">
        <v>0.88</v>
      </c>
      <c r="K4369" s="19">
        <v>1.09</v>
      </c>
      <c r="L4369" s="19">
        <v>1.52</v>
      </c>
      <c r="M4369" s="19">
        <v>0.66</v>
      </c>
      <c r="N4369" s="19">
        <v>0.55</v>
      </c>
      <c r="O4369" s="19">
        <v>0.51</v>
      </c>
      <c r="P4369" s="19">
        <v>0.9</v>
      </c>
      <c r="Q4369" s="19">
        <v>1.04</v>
      </c>
      <c r="R4369" s="19">
        <v>0.7</v>
      </c>
      <c r="S4369" s="19">
        <v>1.19</v>
      </c>
      <c r="T4369" s="19">
        <v>0.78</v>
      </c>
      <c r="U4369" s="19">
        <v>0.5</v>
      </c>
      <c r="V4369" s="19">
        <v>0.48</v>
      </c>
      <c r="W4369" s="19">
        <v>0.79</v>
      </c>
      <c r="X4369" s="19">
        <v>1.72</v>
      </c>
      <c r="Y4369" s="19">
        <v>0.73</v>
      </c>
      <c r="Z4369" s="19">
        <v>0.08</v>
      </c>
      <c r="AA4369" s="19">
        <v>0.85</v>
      </c>
      <c r="AB4369" s="19">
        <v>1.02</v>
      </c>
      <c r="AC4369" s="19">
        <v>0.98</v>
      </c>
      <c r="AD4369" s="19">
        <v>0.63</v>
      </c>
      <c r="AE4369" s="19">
        <v>1.07</v>
      </c>
      <c r="AF4369" s="19">
        <v>0.7</v>
      </c>
    </row>
  </sheetData>
  <autoFilter ref="A10:AF130987"/>
  <hyperlinks>
    <hyperlink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4861"/>
  <sheetViews>
    <sheetView workbookViewId="0">
      <pane xSplit="5" ySplit="10" topLeftCell="F11" activePane="bottomRight" state="frozen"/>
      <selection pane="topRight" activeCell="F1" sqref="F1"/>
      <selection pane="bottomLeft" activeCell="A11" sqref="A11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60.7109375" customWidth="1"/>
    <col min="4" max="4" width="10.7109375" customWidth="1"/>
    <col min="5" max="5" width="11.7109375" customWidth="1"/>
    <col min="6" max="32" width="16.7109375" customWidth="1"/>
  </cols>
  <sheetData>
    <row r="1" spans="1:32">
      <c r="A1" s="6" t="s">
        <v>0</v>
      </c>
    </row>
    <row r="2" spans="1:32">
      <c r="A2" s="7" t="s">
        <v>71</v>
      </c>
    </row>
    <row r="3" spans="1:32">
      <c r="A3" s="7" t="s">
        <v>22</v>
      </c>
      <c r="B3" s="12" t="s">
        <v>23</v>
      </c>
    </row>
    <row r="4" spans="1:32">
      <c r="A4" s="7" t="s">
        <v>24</v>
      </c>
      <c r="B4" s="12" t="s">
        <v>25</v>
      </c>
    </row>
    <row r="6" spans="1:32">
      <c r="A6" s="6" t="s">
        <v>27</v>
      </c>
      <c r="B6" s="7" t="s">
        <v>28</v>
      </c>
      <c r="C6" s="7" t="s">
        <v>29</v>
      </c>
    </row>
    <row r="7" spans="1:32">
      <c r="A7" s="16" t="s">
        <v>30</v>
      </c>
    </row>
    <row r="9" spans="1:32">
      <c r="A9" s="17" t="s">
        <v>36</v>
      </c>
      <c r="E9" s="9" t="s">
        <v>37</v>
      </c>
    </row>
    <row r="10" spans="1:32">
      <c r="A10" s="11" t="s">
        <v>38</v>
      </c>
      <c r="B10" s="11" t="s">
        <v>39</v>
      </c>
      <c r="C10" s="11" t="s">
        <v>40</v>
      </c>
      <c r="D10" s="11" t="s">
        <v>21</v>
      </c>
      <c r="E10" s="11" t="s">
        <v>41</v>
      </c>
      <c r="F10" s="11" t="s">
        <v>42</v>
      </c>
      <c r="G10" s="11" t="s">
        <v>43</v>
      </c>
      <c r="H10" s="11" t="s">
        <v>44</v>
      </c>
      <c r="I10" s="11" t="s">
        <v>45</v>
      </c>
      <c r="J10" s="11" t="s">
        <v>46</v>
      </c>
      <c r="K10" s="11" t="s">
        <v>47</v>
      </c>
      <c r="L10" s="11" t="s">
        <v>48</v>
      </c>
      <c r="M10" s="11" t="s">
        <v>49</v>
      </c>
      <c r="N10" s="11" t="s">
        <v>50</v>
      </c>
      <c r="O10" s="11" t="s">
        <v>51</v>
      </c>
      <c r="P10" s="11" t="s">
        <v>52</v>
      </c>
      <c r="Q10" s="11" t="s">
        <v>53</v>
      </c>
      <c r="R10" s="11" t="s">
        <v>54</v>
      </c>
      <c r="S10" s="11" t="s">
        <v>55</v>
      </c>
      <c r="T10" s="11" t="s">
        <v>56</v>
      </c>
      <c r="U10" s="11" t="s">
        <v>57</v>
      </c>
      <c r="V10" s="11" t="s">
        <v>58</v>
      </c>
      <c r="W10" s="11" t="s">
        <v>59</v>
      </c>
      <c r="X10" s="11" t="s">
        <v>60</v>
      </c>
      <c r="Y10" s="11" t="s">
        <v>61</v>
      </c>
      <c r="Z10" s="11" t="s">
        <v>62</v>
      </c>
      <c r="AA10" s="11" t="s">
        <v>63</v>
      </c>
      <c r="AB10" s="11" t="s">
        <v>64</v>
      </c>
      <c r="AC10" s="11" t="s">
        <v>65</v>
      </c>
      <c r="AD10" s="11" t="s">
        <v>66</v>
      </c>
      <c r="AE10" s="11" t="s">
        <v>67</v>
      </c>
      <c r="AF10" s="11" t="s">
        <v>68</v>
      </c>
    </row>
    <row r="57" spans="1:32">
      <c r="A57" s="18" t="s">
        <v>140</v>
      </c>
      <c r="B57" s="18">
        <v>1</v>
      </c>
      <c r="C57" s="7" t="s">
        <v>142</v>
      </c>
      <c r="D57" s="18" t="s">
        <v>143</v>
      </c>
      <c r="E57" s="18" t="s">
        <v>141</v>
      </c>
      <c r="F57" s="19"/>
      <c r="G57" s="19">
        <v>133.33</v>
      </c>
      <c r="H57" s="19"/>
      <c r="I57" s="19"/>
      <c r="J57" s="19">
        <v>157.78</v>
      </c>
      <c r="K57" s="19">
        <v>101.13</v>
      </c>
      <c r="L57" s="19"/>
      <c r="M57" s="19">
        <v>105</v>
      </c>
      <c r="N57" s="19">
        <v>97.77</v>
      </c>
      <c r="O57" s="19"/>
      <c r="P57" s="19">
        <v>80</v>
      </c>
      <c r="Q57" s="19">
        <v>100</v>
      </c>
      <c r="R57" s="19">
        <v>119.64</v>
      </c>
      <c r="S57" s="19"/>
      <c r="T57" s="19"/>
      <c r="U57" s="19"/>
      <c r="V57" s="19"/>
      <c r="W57" s="19">
        <v>140</v>
      </c>
      <c r="X57" s="19"/>
      <c r="Y57" s="19"/>
      <c r="Z57" s="19"/>
      <c r="AA57" s="19"/>
      <c r="AB57" s="19">
        <v>110.5</v>
      </c>
      <c r="AC57" s="19"/>
      <c r="AD57" s="19"/>
      <c r="AE57" s="19">
        <v>110</v>
      </c>
      <c r="AF57" s="19"/>
    </row>
    <row r="184" spans="1:32">
      <c r="A184" s="18" t="s">
        <v>147</v>
      </c>
      <c r="B184" s="18">
        <v>37370</v>
      </c>
      <c r="C184" s="7" t="s">
        <v>148</v>
      </c>
      <c r="D184" s="18" t="s">
        <v>146</v>
      </c>
      <c r="E184" s="18" t="s">
        <v>141</v>
      </c>
      <c r="F184" s="19">
        <v>3.4</v>
      </c>
      <c r="G184" s="19">
        <v>2.68</v>
      </c>
      <c r="H184" s="19">
        <v>5.58</v>
      </c>
      <c r="I184" s="19">
        <v>0.66</v>
      </c>
      <c r="J184" s="19">
        <v>5</v>
      </c>
      <c r="K184" s="19">
        <v>4.15</v>
      </c>
      <c r="L184" s="19">
        <v>4.29</v>
      </c>
      <c r="M184" s="19">
        <v>7.63</v>
      </c>
      <c r="N184" s="19">
        <v>3.61</v>
      </c>
      <c r="O184" s="19">
        <v>2.2</v>
      </c>
      <c r="P184" s="19">
        <v>2.41</v>
      </c>
      <c r="Q184" s="19">
        <v>1.73</v>
      </c>
      <c r="R184" s="19">
        <v>2.9</v>
      </c>
      <c r="S184" s="19">
        <v>5.15</v>
      </c>
      <c r="T184" s="19">
        <v>1.82</v>
      </c>
      <c r="U184" s="19">
        <v>3.06</v>
      </c>
      <c r="V184" s="19">
        <v>2.49</v>
      </c>
      <c r="W184" s="19">
        <v>5.96</v>
      </c>
      <c r="X184" s="19">
        <v>4.78</v>
      </c>
      <c r="Y184" s="19">
        <v>4.93</v>
      </c>
      <c r="Z184" s="19">
        <v>3.76</v>
      </c>
      <c r="AA184" s="19">
        <v>3.52</v>
      </c>
      <c r="AB184" s="19">
        <v>1.82</v>
      </c>
      <c r="AC184" s="19">
        <v>0.01</v>
      </c>
      <c r="AD184" s="19">
        <v>2.96</v>
      </c>
      <c r="AE184" s="19">
        <v>4.48</v>
      </c>
      <c r="AF184" s="19">
        <v>2.39</v>
      </c>
    </row>
    <row r="317" spans="1:32">
      <c r="A317" s="18" t="s">
        <v>140</v>
      </c>
      <c r="B317" s="18">
        <v>34353</v>
      </c>
      <c r="C317" s="7" t="s">
        <v>149</v>
      </c>
      <c r="D317" s="18" t="s">
        <v>143</v>
      </c>
      <c r="E317" s="18" t="s">
        <v>139</v>
      </c>
      <c r="F317" s="19">
        <v>2.42</v>
      </c>
      <c r="G317" s="19">
        <v>1.86</v>
      </c>
      <c r="H317" s="19">
        <v>2.38</v>
      </c>
      <c r="I317" s="19">
        <v>2.1</v>
      </c>
      <c r="J317" s="19">
        <v>1.58</v>
      </c>
      <c r="K317" s="19">
        <v>2.17</v>
      </c>
      <c r="L317" s="19">
        <v>1.19</v>
      </c>
      <c r="M317" s="19">
        <v>1.35</v>
      </c>
      <c r="N317" s="19">
        <v>1.49</v>
      </c>
      <c r="O317" s="19">
        <v>1.91</v>
      </c>
      <c r="P317" s="19">
        <v>1.26</v>
      </c>
      <c r="Q317" s="19">
        <v>1.76</v>
      </c>
      <c r="R317" s="19">
        <v>2.32</v>
      </c>
      <c r="S317" s="19">
        <v>1.67</v>
      </c>
      <c r="T317" s="19">
        <v>1.49</v>
      </c>
      <c r="U317" s="19">
        <v>1.86</v>
      </c>
      <c r="V317" s="19">
        <v>1.35</v>
      </c>
      <c r="W317" s="19">
        <v>1.41</v>
      </c>
      <c r="X317" s="19">
        <v>1.3</v>
      </c>
      <c r="Y317" s="19">
        <v>1.82</v>
      </c>
      <c r="Z317" s="19">
        <v>1.99</v>
      </c>
      <c r="AA317" s="19">
        <v>3.09</v>
      </c>
      <c r="AB317" s="19">
        <v>1.49</v>
      </c>
      <c r="AC317" s="19">
        <v>1.3</v>
      </c>
      <c r="AD317" s="19">
        <v>1.73</v>
      </c>
      <c r="AE317" s="19">
        <v>1.49</v>
      </c>
      <c r="AF317" s="19">
        <v>1.39</v>
      </c>
    </row>
    <row r="320" spans="1:32">
      <c r="A320" s="18" t="s">
        <v>140</v>
      </c>
      <c r="B320" s="18">
        <v>371</v>
      </c>
      <c r="C320" s="7" t="s">
        <v>150</v>
      </c>
      <c r="D320" s="18" t="s">
        <v>143</v>
      </c>
      <c r="E320" s="18" t="s">
        <v>139</v>
      </c>
      <c r="F320" s="19">
        <v>1.42</v>
      </c>
      <c r="G320" s="19">
        <v>1.09</v>
      </c>
      <c r="H320" s="19">
        <v>1.39</v>
      </c>
      <c r="I320" s="19">
        <v>1.23</v>
      </c>
      <c r="J320" s="19">
        <v>0.92</v>
      </c>
      <c r="K320" s="19">
        <v>1.27</v>
      </c>
      <c r="L320" s="19">
        <v>0.6899999999999999</v>
      </c>
      <c r="M320" s="19">
        <v>0.79</v>
      </c>
      <c r="N320" s="19">
        <v>0.87</v>
      </c>
      <c r="O320" s="19">
        <v>1.12</v>
      </c>
      <c r="P320" s="19">
        <v>0.74</v>
      </c>
      <c r="Q320" s="19">
        <v>1.03</v>
      </c>
      <c r="R320" s="19">
        <v>1.36</v>
      </c>
      <c r="S320" s="19">
        <v>0.98</v>
      </c>
      <c r="T320" s="19">
        <v>0.87</v>
      </c>
      <c r="U320" s="19">
        <v>1.09</v>
      </c>
      <c r="V320" s="19">
        <v>0.79</v>
      </c>
      <c r="W320" s="19">
        <v>0.83</v>
      </c>
      <c r="X320" s="19">
        <v>0.76</v>
      </c>
      <c r="Y320" s="19">
        <v>1.07</v>
      </c>
      <c r="Z320" s="19">
        <v>1.16</v>
      </c>
      <c r="AA320" s="19">
        <v>1.81</v>
      </c>
      <c r="AB320" s="19">
        <v>0.87</v>
      </c>
      <c r="AC320" s="19">
        <v>0.76</v>
      </c>
      <c r="AD320" s="19">
        <v>1.01</v>
      </c>
      <c r="AE320" s="19">
        <v>0.87</v>
      </c>
      <c r="AF320" s="19">
        <v>0.8100000000000001</v>
      </c>
    </row>
    <row r="1932" spans="1:32">
      <c r="A1932" s="18" t="s">
        <v>147</v>
      </c>
      <c r="B1932" s="18">
        <v>43489</v>
      </c>
      <c r="C1932" s="7" t="s">
        <v>152</v>
      </c>
      <c r="D1932" s="18" t="s">
        <v>146</v>
      </c>
      <c r="E1932" s="18" t="s">
        <v>141</v>
      </c>
      <c r="F1932" s="19">
        <v>1.46</v>
      </c>
      <c r="G1932" s="19">
        <v>1.45</v>
      </c>
      <c r="H1932" s="19">
        <v>1.46</v>
      </c>
      <c r="I1932" s="19">
        <v>1.74</v>
      </c>
      <c r="J1932" s="19">
        <v>1.41</v>
      </c>
      <c r="K1932" s="19">
        <v>1.5</v>
      </c>
      <c r="L1932" s="19">
        <v>1.26</v>
      </c>
      <c r="M1932" s="19">
        <v>1.28</v>
      </c>
      <c r="N1932" s="19">
        <v>1.13</v>
      </c>
      <c r="O1932" s="19">
        <v>1.32</v>
      </c>
      <c r="P1932" s="19">
        <v>1.43</v>
      </c>
      <c r="Q1932" s="19">
        <v>1.43</v>
      </c>
      <c r="R1932" s="19">
        <v>1.72</v>
      </c>
      <c r="S1932" s="19">
        <v>1.76</v>
      </c>
      <c r="T1932" s="19">
        <v>1.68</v>
      </c>
      <c r="U1932" s="19">
        <v>1.47</v>
      </c>
      <c r="V1932" s="19">
        <v>1.81</v>
      </c>
      <c r="W1932" s="19">
        <v>1.64</v>
      </c>
      <c r="X1932" s="19">
        <v>1.71</v>
      </c>
      <c r="Y1932" s="19">
        <v>1.25</v>
      </c>
      <c r="Z1932" s="19">
        <v>1.56</v>
      </c>
      <c r="AA1932" s="19">
        <v>1.85</v>
      </c>
      <c r="AB1932" s="19">
        <v>1.62</v>
      </c>
      <c r="AC1932" s="19">
        <v>1.55</v>
      </c>
      <c r="AD1932" s="19">
        <v>1.28</v>
      </c>
      <c r="AE1932" s="19">
        <v>1.47</v>
      </c>
      <c r="AF1932" s="19">
        <v>1.6</v>
      </c>
    </row>
    <row r="1936" spans="1:32">
      <c r="A1936" s="18" t="s">
        <v>147</v>
      </c>
      <c r="B1936" s="18">
        <v>43491</v>
      </c>
      <c r="C1936" s="7" t="s">
        <v>153</v>
      </c>
      <c r="D1936" s="18" t="s">
        <v>146</v>
      </c>
      <c r="E1936" s="18" t="s">
        <v>141</v>
      </c>
      <c r="F1936" s="19">
        <v>1.53</v>
      </c>
      <c r="G1936" s="19">
        <v>1.52</v>
      </c>
      <c r="H1936" s="19">
        <v>1.53</v>
      </c>
      <c r="I1936" s="19">
        <v>1.82</v>
      </c>
      <c r="J1936" s="19">
        <v>1.48</v>
      </c>
      <c r="K1936" s="19">
        <v>1.57</v>
      </c>
      <c r="L1936" s="19">
        <v>1.32</v>
      </c>
      <c r="M1936" s="19">
        <v>1.34</v>
      </c>
      <c r="N1936" s="19">
        <v>1.18</v>
      </c>
      <c r="O1936" s="19">
        <v>1.38</v>
      </c>
      <c r="P1936" s="19">
        <v>1.5</v>
      </c>
      <c r="Q1936" s="19">
        <v>1.5</v>
      </c>
      <c r="R1936" s="19">
        <v>1.8</v>
      </c>
      <c r="S1936" s="19">
        <v>1.85</v>
      </c>
      <c r="T1936" s="19">
        <v>1.75</v>
      </c>
      <c r="U1936" s="19">
        <v>1.54</v>
      </c>
      <c r="V1936" s="19">
        <v>1.89</v>
      </c>
      <c r="W1936" s="19">
        <v>1.71</v>
      </c>
      <c r="X1936" s="19">
        <v>1.79</v>
      </c>
      <c r="Y1936" s="19">
        <v>1.31</v>
      </c>
      <c r="Z1936" s="19">
        <v>1.63</v>
      </c>
      <c r="AA1936" s="19">
        <v>1.94</v>
      </c>
      <c r="AB1936" s="19">
        <v>1.7</v>
      </c>
      <c r="AC1936" s="19">
        <v>1.62</v>
      </c>
      <c r="AD1936" s="19">
        <v>1.34</v>
      </c>
      <c r="AE1936" s="19">
        <v>1.54</v>
      </c>
      <c r="AF1936" s="19">
        <v>1.67</v>
      </c>
    </row>
    <row r="1993" spans="1:32">
      <c r="A1993" s="18" t="s">
        <v>147</v>
      </c>
      <c r="B1993" s="18">
        <v>37372</v>
      </c>
      <c r="C1993" s="7" t="s">
        <v>154</v>
      </c>
      <c r="D1993" s="18" t="s">
        <v>146</v>
      </c>
      <c r="E1993" s="18" t="s">
        <v>141</v>
      </c>
      <c r="F1993" s="19">
        <v>1.32</v>
      </c>
      <c r="G1993" s="19">
        <v>1.4</v>
      </c>
      <c r="H1993" s="19">
        <v>1.29</v>
      </c>
      <c r="I1993" s="19">
        <v>1.3</v>
      </c>
      <c r="J1993" s="19">
        <v>1.49</v>
      </c>
      <c r="K1993" s="19">
        <v>1.48</v>
      </c>
      <c r="L1993" s="19">
        <v>1.31</v>
      </c>
      <c r="M1993" s="19">
        <v>1.62</v>
      </c>
      <c r="N1993" s="19">
        <v>1.58</v>
      </c>
      <c r="O1993" s="19">
        <v>1.36</v>
      </c>
      <c r="P1993" s="19">
        <v>1.57</v>
      </c>
      <c r="Q1993" s="19">
        <v>1.67</v>
      </c>
      <c r="R1993" s="19">
        <v>1.62</v>
      </c>
      <c r="S1993" s="19">
        <v>1.51</v>
      </c>
      <c r="T1993" s="19">
        <v>1.56</v>
      </c>
      <c r="U1993" s="19">
        <v>1.24</v>
      </c>
      <c r="V1993" s="19">
        <v>1.42</v>
      </c>
      <c r="W1993" s="19">
        <v>1.58</v>
      </c>
      <c r="X1993" s="19">
        <v>1.25</v>
      </c>
      <c r="Y1993" s="19">
        <v>1.55</v>
      </c>
      <c r="Z1993" s="19">
        <v>1.52</v>
      </c>
      <c r="AA1993" s="19">
        <v>1.36</v>
      </c>
      <c r="AB1993" s="19">
        <v>1.36</v>
      </c>
      <c r="AC1993" s="19">
        <v>1.65</v>
      </c>
      <c r="AD1993" s="19">
        <v>1.39</v>
      </c>
      <c r="AE1993" s="19">
        <v>1.43</v>
      </c>
      <c r="AF1993" s="19">
        <v>1.59</v>
      </c>
    </row>
    <row r="2052" spans="1:32">
      <c r="A2052" s="18" t="s">
        <v>147</v>
      </c>
      <c r="B2052" s="18">
        <v>43465</v>
      </c>
      <c r="C2052" s="7" t="s">
        <v>155</v>
      </c>
      <c r="D2052" s="18" t="s">
        <v>146</v>
      </c>
      <c r="E2052" s="18" t="s">
        <v>141</v>
      </c>
      <c r="F2052" s="19">
        <v>0.7</v>
      </c>
      <c r="G2052" s="19">
        <v>0.6</v>
      </c>
      <c r="H2052" s="19">
        <v>0.57</v>
      </c>
      <c r="I2052" s="19">
        <v>0.65</v>
      </c>
      <c r="J2052" s="19">
        <v>0.59</v>
      </c>
      <c r="K2052" s="19">
        <v>0.6</v>
      </c>
      <c r="L2052" s="19">
        <v>0.71</v>
      </c>
      <c r="M2052" s="19">
        <v>0.68</v>
      </c>
      <c r="N2052" s="19">
        <v>0.62</v>
      </c>
      <c r="O2052" s="19">
        <v>0.73</v>
      </c>
      <c r="P2052" s="19">
        <v>0.8</v>
      </c>
      <c r="Q2052" s="19">
        <v>0.8100000000000001</v>
      </c>
      <c r="R2052" s="19">
        <v>0.74</v>
      </c>
      <c r="S2052" s="19">
        <v>0.65</v>
      </c>
      <c r="T2052" s="19">
        <v>0.63</v>
      </c>
      <c r="U2052" s="19">
        <v>0.6</v>
      </c>
      <c r="V2052" s="19">
        <v>0.9</v>
      </c>
      <c r="W2052" s="19">
        <v>0.6</v>
      </c>
      <c r="X2052" s="19">
        <v>0.64</v>
      </c>
      <c r="Y2052" s="19">
        <v>0.66</v>
      </c>
      <c r="Z2052" s="19">
        <v>0.74</v>
      </c>
      <c r="AA2052" s="19">
        <v>0.63</v>
      </c>
      <c r="AB2052" s="19">
        <v>0.71</v>
      </c>
      <c r="AC2052" s="19">
        <v>0.72</v>
      </c>
      <c r="AD2052" s="19">
        <v>0.61</v>
      </c>
      <c r="AE2052" s="19">
        <v>0.73</v>
      </c>
      <c r="AF2052" s="19">
        <v>0.83</v>
      </c>
    </row>
    <row r="2056" spans="1:32">
      <c r="A2056" s="18" t="s">
        <v>147</v>
      </c>
      <c r="B2056" s="18">
        <v>43467</v>
      </c>
      <c r="C2056" s="7" t="s">
        <v>156</v>
      </c>
      <c r="D2056" s="18" t="s">
        <v>146</v>
      </c>
      <c r="E2056" s="18" t="s">
        <v>141</v>
      </c>
      <c r="F2056" s="19">
        <v>0.6</v>
      </c>
      <c r="G2056" s="19">
        <v>0.48</v>
      </c>
      <c r="H2056" s="19">
        <v>0.57</v>
      </c>
      <c r="I2056" s="19">
        <v>0.61</v>
      </c>
      <c r="J2056" s="19">
        <v>0.47</v>
      </c>
      <c r="K2056" s="19">
        <v>0.57</v>
      </c>
      <c r="L2056" s="19">
        <v>0.58</v>
      </c>
      <c r="M2056" s="19">
        <v>0.57</v>
      </c>
      <c r="N2056" s="19">
        <v>0.5600000000000001</v>
      </c>
      <c r="O2056" s="19">
        <v>0.58</v>
      </c>
      <c r="P2056" s="19">
        <v>0.67</v>
      </c>
      <c r="Q2056" s="19">
        <v>0.49</v>
      </c>
      <c r="R2056" s="19">
        <v>0.6</v>
      </c>
      <c r="S2056" s="19">
        <v>0.5600000000000001</v>
      </c>
      <c r="T2056" s="19">
        <v>0.58</v>
      </c>
      <c r="U2056" s="19">
        <v>0.5</v>
      </c>
      <c r="V2056" s="19">
        <v>1</v>
      </c>
      <c r="W2056" s="19">
        <v>0.42</v>
      </c>
      <c r="X2056" s="19">
        <v>0.5600000000000001</v>
      </c>
      <c r="Y2056" s="19">
        <v>0.62</v>
      </c>
      <c r="Z2056" s="19">
        <v>0.63</v>
      </c>
      <c r="AA2056" s="19">
        <v>0.64</v>
      </c>
      <c r="AB2056" s="19">
        <v>0.57</v>
      </c>
      <c r="AC2056" s="19">
        <v>0.6</v>
      </c>
      <c r="AD2056" s="19">
        <v>0.49</v>
      </c>
      <c r="AE2056" s="19">
        <v>0.57</v>
      </c>
      <c r="AF2056" s="19">
        <v>0.6899999999999999</v>
      </c>
    </row>
    <row r="3133" spans="1:32">
      <c r="A3133" s="18" t="s">
        <v>140</v>
      </c>
      <c r="B3133" s="18">
        <v>2</v>
      </c>
      <c r="C3133" s="7" t="s">
        <v>157</v>
      </c>
      <c r="D3133" s="18" t="s">
        <v>144</v>
      </c>
      <c r="E3133" s="18" t="s">
        <v>139</v>
      </c>
      <c r="F3133" s="19"/>
      <c r="G3133" s="19">
        <v>29.22</v>
      </c>
      <c r="H3133" s="19"/>
      <c r="I3133" s="19"/>
      <c r="J3133" s="19">
        <v>34.58</v>
      </c>
      <c r="K3133" s="19">
        <v>22.16</v>
      </c>
      <c r="L3133" s="19"/>
      <c r="M3133" s="19">
        <v>23.01</v>
      </c>
      <c r="N3133" s="19">
        <v>21.42</v>
      </c>
      <c r="O3133" s="19"/>
      <c r="P3133" s="19">
        <v>17.53</v>
      </c>
      <c r="Q3133" s="19">
        <v>21.91</v>
      </c>
      <c r="R3133" s="19">
        <v>26.22</v>
      </c>
      <c r="S3133" s="19"/>
      <c r="T3133" s="19"/>
      <c r="U3133" s="19"/>
      <c r="V3133" s="19"/>
      <c r="W3133" s="19">
        <v>30.68</v>
      </c>
      <c r="X3133" s="19"/>
      <c r="Y3133" s="19"/>
      <c r="Z3133" s="19"/>
      <c r="AA3133" s="19"/>
      <c r="AB3133" s="19">
        <v>24.21</v>
      </c>
      <c r="AC3133" s="19"/>
      <c r="AD3133" s="19"/>
      <c r="AE3133" s="19">
        <v>24.1</v>
      </c>
      <c r="AF3133" s="19"/>
    </row>
    <row r="3258" spans="1:32">
      <c r="A3258" s="18" t="s">
        <v>145</v>
      </c>
      <c r="B3258" s="18">
        <v>4750</v>
      </c>
      <c r="C3258" s="7" t="s">
        <v>158</v>
      </c>
      <c r="D3258" s="18" t="s">
        <v>146</v>
      </c>
      <c r="E3258" s="18" t="s">
        <v>141</v>
      </c>
      <c r="F3258" s="19">
        <v>11</v>
      </c>
      <c r="G3258" s="19">
        <v>9.380000000000001</v>
      </c>
      <c r="H3258" s="19">
        <v>10.12</v>
      </c>
      <c r="I3258" s="19">
        <v>9.91</v>
      </c>
      <c r="J3258" s="19">
        <v>11.16</v>
      </c>
      <c r="K3258" s="19">
        <v>10.14</v>
      </c>
      <c r="L3258" s="19">
        <v>11.02</v>
      </c>
      <c r="M3258" s="19">
        <v>10.12</v>
      </c>
      <c r="N3258" s="19">
        <v>11.56</v>
      </c>
      <c r="O3258" s="19">
        <v>9.94</v>
      </c>
      <c r="P3258" s="19">
        <v>11.96</v>
      </c>
      <c r="Q3258" s="19">
        <v>9.859999999999999</v>
      </c>
      <c r="R3258" s="19">
        <v>10.86</v>
      </c>
      <c r="S3258" s="19">
        <v>9.99</v>
      </c>
      <c r="T3258" s="19">
        <v>9.9</v>
      </c>
      <c r="U3258" s="19">
        <v>10.5</v>
      </c>
      <c r="V3258" s="19">
        <v>10.2</v>
      </c>
      <c r="W3258" s="19">
        <v>13.39</v>
      </c>
      <c r="X3258" s="19">
        <v>14.27</v>
      </c>
      <c r="Y3258" s="19">
        <v>9.15</v>
      </c>
      <c r="Z3258" s="19">
        <v>10.66</v>
      </c>
      <c r="AA3258" s="19">
        <v>11.89</v>
      </c>
      <c r="AB3258" s="19">
        <v>10.74</v>
      </c>
      <c r="AC3258" s="19">
        <v>14.25</v>
      </c>
      <c r="AD3258" s="19">
        <v>9.67</v>
      </c>
      <c r="AE3258" s="19">
        <v>12.11</v>
      </c>
      <c r="AF3258" s="19">
        <v>9.9</v>
      </c>
    </row>
    <row r="3358" spans="1:32">
      <c r="A3358" s="18" t="s">
        <v>140</v>
      </c>
      <c r="B3358" s="18">
        <v>36178</v>
      </c>
      <c r="C3358" s="7" t="s">
        <v>159</v>
      </c>
      <c r="D3358" s="18" t="s">
        <v>138</v>
      </c>
      <c r="E3358" s="18" t="s">
        <v>139</v>
      </c>
      <c r="F3358" s="19">
        <v>28.02</v>
      </c>
      <c r="G3358" s="19">
        <v>14.34</v>
      </c>
      <c r="H3358" s="19">
        <v>22.95</v>
      </c>
      <c r="I3358" s="19">
        <v>20.85</v>
      </c>
      <c r="J3358" s="19">
        <v>15.44</v>
      </c>
      <c r="K3358" s="19">
        <v>14.34</v>
      </c>
      <c r="L3358" s="19">
        <v>19.44</v>
      </c>
      <c r="M3358" s="19">
        <v>16.55</v>
      </c>
      <c r="N3358" s="19">
        <v>17.83</v>
      </c>
      <c r="O3358" s="19">
        <v>15.44</v>
      </c>
      <c r="P3358" s="19">
        <v>15.54</v>
      </c>
      <c r="Q3358" s="19">
        <v>17.29</v>
      </c>
      <c r="R3358" s="19">
        <v>22.03</v>
      </c>
      <c r="S3358" s="19">
        <v>15.88</v>
      </c>
      <c r="T3358" s="19">
        <v>12.8</v>
      </c>
      <c r="U3358" s="19">
        <v>13.46</v>
      </c>
      <c r="V3358" s="19">
        <v>13.57</v>
      </c>
      <c r="W3358" s="19">
        <v>12.62</v>
      </c>
      <c r="X3358" s="19">
        <v>15.88</v>
      </c>
      <c r="Y3358" s="19">
        <v>15.56</v>
      </c>
      <c r="Z3358" s="19">
        <v>21.4</v>
      </c>
      <c r="AA3358" s="19">
        <v>28.68</v>
      </c>
      <c r="AB3358" s="19">
        <v>14.17</v>
      </c>
      <c r="AC3358" s="19">
        <v>12.81</v>
      </c>
      <c r="AD3358" s="19">
        <v>16.55</v>
      </c>
      <c r="AE3358" s="19">
        <v>18.3</v>
      </c>
      <c r="AF3358" s="19">
        <v>20.85</v>
      </c>
    </row>
    <row r="3730" spans="1:32">
      <c r="A3730" s="18" t="s">
        <v>140</v>
      </c>
      <c r="B3730" s="18">
        <v>34357</v>
      </c>
      <c r="C3730" s="7" t="s">
        <v>160</v>
      </c>
      <c r="D3730" s="18" t="s">
        <v>143</v>
      </c>
      <c r="E3730" s="18" t="s">
        <v>139</v>
      </c>
      <c r="F3730" s="19">
        <v>7.63</v>
      </c>
      <c r="G3730" s="19">
        <v>5.87</v>
      </c>
      <c r="H3730" s="19">
        <v>7.51</v>
      </c>
      <c r="I3730" s="19">
        <v>6.63</v>
      </c>
      <c r="J3730" s="19">
        <v>4.99</v>
      </c>
      <c r="K3730" s="19">
        <v>6.87</v>
      </c>
      <c r="L3730" s="19">
        <v>3.75</v>
      </c>
      <c r="M3730" s="19">
        <v>4.28</v>
      </c>
      <c r="N3730" s="19">
        <v>4.69</v>
      </c>
      <c r="O3730" s="19">
        <v>6.04</v>
      </c>
      <c r="P3730" s="19">
        <v>3.99</v>
      </c>
      <c r="Q3730" s="19">
        <v>5.57</v>
      </c>
      <c r="R3730" s="19">
        <v>7.34</v>
      </c>
      <c r="S3730" s="19">
        <v>5.28</v>
      </c>
      <c r="T3730" s="19">
        <v>4.69</v>
      </c>
      <c r="U3730" s="19">
        <v>5.87</v>
      </c>
      <c r="V3730" s="19">
        <v>4.28</v>
      </c>
      <c r="W3730" s="19">
        <v>4.46</v>
      </c>
      <c r="X3730" s="19">
        <v>4.11</v>
      </c>
      <c r="Y3730" s="19">
        <v>5.75</v>
      </c>
      <c r="Z3730" s="19">
        <v>6.28</v>
      </c>
      <c r="AA3730" s="19">
        <v>9.74</v>
      </c>
      <c r="AB3730" s="19">
        <v>4.69</v>
      </c>
      <c r="AC3730" s="19">
        <v>4.11</v>
      </c>
      <c r="AD3730" s="19">
        <v>5.46</v>
      </c>
      <c r="AE3730" s="19">
        <v>4.69</v>
      </c>
      <c r="AF3730" s="19">
        <v>4.4</v>
      </c>
    </row>
    <row r="3804" spans="1:32">
      <c r="A3804" s="18" t="s">
        <v>147</v>
      </c>
      <c r="B3804" s="18">
        <v>37373</v>
      </c>
      <c r="C3804" s="7" t="s">
        <v>161</v>
      </c>
      <c r="D3804" s="18" t="s">
        <v>146</v>
      </c>
      <c r="E3804" s="18" t="s">
        <v>141</v>
      </c>
      <c r="F3804" s="19">
        <v>0.11</v>
      </c>
      <c r="G3804" s="19">
        <v>0.11</v>
      </c>
      <c r="H3804" s="19">
        <v>0.11</v>
      </c>
      <c r="I3804" s="19">
        <v>0.01</v>
      </c>
      <c r="J3804" s="19">
        <v>0.11</v>
      </c>
      <c r="K3804" s="19">
        <v>0.11</v>
      </c>
      <c r="L3804" s="19">
        <v>0.11</v>
      </c>
      <c r="M3804" s="19">
        <v>0.11</v>
      </c>
      <c r="N3804" s="19">
        <v>0.1</v>
      </c>
      <c r="O3804" s="19">
        <v>0.11</v>
      </c>
      <c r="P3804" s="19">
        <v>0.11</v>
      </c>
      <c r="Q3804" s="19">
        <v>0.11</v>
      </c>
      <c r="R3804" s="19">
        <v>0.1</v>
      </c>
      <c r="S3804" s="19">
        <v>0.11</v>
      </c>
      <c r="T3804" s="19">
        <v>0.01</v>
      </c>
      <c r="U3804" s="19">
        <v>0.11</v>
      </c>
      <c r="V3804" s="19">
        <v>0.11</v>
      </c>
      <c r="W3804" s="19">
        <v>0.06</v>
      </c>
      <c r="X3804" s="19">
        <v>0.11</v>
      </c>
      <c r="Y3804" s="19">
        <v>0.11</v>
      </c>
      <c r="Z3804" s="19">
        <v>0.01</v>
      </c>
      <c r="AA3804" s="19">
        <v>0.01</v>
      </c>
      <c r="AB3804" s="19">
        <v>0.11</v>
      </c>
      <c r="AC3804" s="19">
        <v>0.11</v>
      </c>
      <c r="AD3804" s="19">
        <v>0.11</v>
      </c>
      <c r="AE3804" s="19">
        <v>0.11</v>
      </c>
      <c r="AF3804" s="19">
        <v>0.11</v>
      </c>
    </row>
    <row r="3825" spans="1:32">
      <c r="A3825" s="18" t="s">
        <v>145</v>
      </c>
      <c r="B3825" s="18">
        <v>6110</v>
      </c>
      <c r="C3825" s="7" t="s">
        <v>162</v>
      </c>
      <c r="D3825" s="18" t="s">
        <v>146</v>
      </c>
      <c r="E3825" s="18" t="s">
        <v>139</v>
      </c>
      <c r="F3825" s="19">
        <v>11</v>
      </c>
      <c r="G3825" s="19">
        <v>10.31</v>
      </c>
      <c r="H3825" s="19">
        <v>12.58</v>
      </c>
      <c r="I3825" s="19">
        <v>9.91</v>
      </c>
      <c r="J3825" s="19">
        <v>11.16</v>
      </c>
      <c r="K3825" s="19">
        <v>10.14</v>
      </c>
      <c r="L3825" s="19">
        <v>11.02</v>
      </c>
      <c r="M3825" s="19">
        <v>11.91</v>
      </c>
      <c r="N3825" s="19">
        <v>11.56</v>
      </c>
      <c r="O3825" s="19">
        <v>9.94</v>
      </c>
      <c r="P3825" s="19">
        <v>11.96</v>
      </c>
      <c r="Q3825" s="19">
        <v>10.09</v>
      </c>
      <c r="R3825" s="19">
        <v>10.86</v>
      </c>
      <c r="S3825" s="19">
        <v>9.99</v>
      </c>
      <c r="T3825" s="19">
        <v>9.9</v>
      </c>
      <c r="U3825" s="19">
        <v>10.5</v>
      </c>
      <c r="V3825" s="19">
        <v>10.2</v>
      </c>
      <c r="W3825" s="19">
        <v>13.39</v>
      </c>
      <c r="X3825" s="19">
        <v>14.27</v>
      </c>
      <c r="Y3825" s="19">
        <v>9.15</v>
      </c>
      <c r="Z3825" s="19">
        <v>10.66</v>
      </c>
      <c r="AA3825" s="19">
        <v>11.89</v>
      </c>
      <c r="AB3825" s="19">
        <v>10.74</v>
      </c>
      <c r="AC3825" s="19">
        <v>14.25</v>
      </c>
      <c r="AD3825" s="19">
        <v>9.67</v>
      </c>
      <c r="AE3825" s="19">
        <v>12.43</v>
      </c>
      <c r="AF3825" s="19">
        <v>9.9</v>
      </c>
    </row>
    <row r="3828" spans="1:32">
      <c r="A3828" s="18" t="s">
        <v>145</v>
      </c>
      <c r="B3828" s="18">
        <v>6111</v>
      </c>
      <c r="C3828" s="7" t="s">
        <v>163</v>
      </c>
      <c r="D3828" s="18" t="s">
        <v>146</v>
      </c>
      <c r="E3828" s="18" t="s">
        <v>141</v>
      </c>
      <c r="F3828" s="19">
        <v>7.66</v>
      </c>
      <c r="G3828" s="19">
        <v>7.37</v>
      </c>
      <c r="H3828" s="19">
        <v>7.48</v>
      </c>
      <c r="I3828" s="19">
        <v>7.37</v>
      </c>
      <c r="J3828" s="19">
        <v>7.37</v>
      </c>
      <c r="K3828" s="19">
        <v>7.37</v>
      </c>
      <c r="L3828" s="19">
        <v>7.45</v>
      </c>
      <c r="M3828" s="19">
        <v>7.65</v>
      </c>
      <c r="N3828" s="19">
        <v>7.37</v>
      </c>
      <c r="O3828" s="19">
        <v>7.37</v>
      </c>
      <c r="P3828" s="19">
        <v>8.029999999999999</v>
      </c>
      <c r="Q3828" s="19">
        <v>7.37</v>
      </c>
      <c r="R3828" s="19">
        <v>8.09</v>
      </c>
      <c r="S3828" s="19">
        <v>7.37</v>
      </c>
      <c r="T3828" s="19">
        <v>7.54</v>
      </c>
      <c r="U3828" s="19">
        <v>7.9</v>
      </c>
      <c r="V3828" s="19">
        <v>7.46</v>
      </c>
      <c r="W3828" s="19">
        <v>9.460000000000001</v>
      </c>
      <c r="X3828" s="19">
        <v>10.1</v>
      </c>
      <c r="Y3828" s="19">
        <v>7.37</v>
      </c>
      <c r="Z3828" s="19">
        <v>8.68</v>
      </c>
      <c r="AA3828" s="19">
        <v>7.43</v>
      </c>
      <c r="AB3828" s="19">
        <v>8.44</v>
      </c>
      <c r="AC3828" s="19">
        <v>9.82</v>
      </c>
      <c r="AD3828" s="19">
        <v>7.37</v>
      </c>
      <c r="AE3828" s="19">
        <v>10</v>
      </c>
      <c r="AF3828" s="19">
        <v>7.37</v>
      </c>
    </row>
    <row r="4369" spans="1:32">
      <c r="A4369" s="18" t="s">
        <v>147</v>
      </c>
      <c r="B4369" s="18">
        <v>37371</v>
      </c>
      <c r="C4369" s="7" t="s">
        <v>164</v>
      </c>
      <c r="D4369" s="18" t="s">
        <v>146</v>
      </c>
      <c r="E4369" s="18" t="s">
        <v>141</v>
      </c>
      <c r="F4369" s="19">
        <v>0.27</v>
      </c>
      <c r="G4369" s="19">
        <v>0.48</v>
      </c>
      <c r="H4369" s="19">
        <v>1.67</v>
      </c>
      <c r="I4369" s="19">
        <v>0.38</v>
      </c>
      <c r="J4369" s="19">
        <v>0.88</v>
      </c>
      <c r="K4369" s="19">
        <v>1.09</v>
      </c>
      <c r="L4369" s="19">
        <v>1.52</v>
      </c>
      <c r="M4369" s="19">
        <v>0.66</v>
      </c>
      <c r="N4369" s="19">
        <v>0.55</v>
      </c>
      <c r="O4369" s="19">
        <v>0.51</v>
      </c>
      <c r="P4369" s="19">
        <v>0.9</v>
      </c>
      <c r="Q4369" s="19">
        <v>1.04</v>
      </c>
      <c r="R4369" s="19">
        <v>0.7</v>
      </c>
      <c r="S4369" s="19">
        <v>1.19</v>
      </c>
      <c r="T4369" s="19">
        <v>0.78</v>
      </c>
      <c r="U4369" s="19">
        <v>0.5</v>
      </c>
      <c r="V4369" s="19">
        <v>0.48</v>
      </c>
      <c r="W4369" s="19">
        <v>0.79</v>
      </c>
      <c r="X4369" s="19">
        <v>1.72</v>
      </c>
      <c r="Y4369" s="19">
        <v>0.73</v>
      </c>
      <c r="Z4369" s="19">
        <v>0.08</v>
      </c>
      <c r="AA4369" s="19">
        <v>0.85</v>
      </c>
      <c r="AB4369" s="19">
        <v>1.02</v>
      </c>
      <c r="AC4369" s="19">
        <v>0.98</v>
      </c>
      <c r="AD4369" s="19">
        <v>0.63</v>
      </c>
      <c r="AE4369" s="19">
        <v>1.07</v>
      </c>
      <c r="AF4369" s="19">
        <v>0.7</v>
      </c>
    </row>
  </sheetData>
  <autoFilter ref="A10:AF130987"/>
  <hyperlinks>
    <hyperlink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10265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5" width="11.7109375" customWidth="1"/>
    <col min="6" max="6" width="5.7109375" customWidth="1"/>
    <col min="7" max="7" width="11.7109375" customWidth="1"/>
    <col min="8" max="8" width="5.7109375" customWidth="1"/>
    <col min="9" max="9" width="11.7109375" customWidth="1"/>
    <col min="10" max="10" width="5.7109375" customWidth="1"/>
    <col min="11" max="11" width="11.7109375" customWidth="1"/>
    <col min="12" max="12" width="5.7109375" customWidth="1"/>
    <col min="13" max="13" width="11.7109375" customWidth="1"/>
    <col min="14" max="14" width="5.7109375" customWidth="1"/>
    <col min="15" max="15" width="11.7109375" customWidth="1"/>
    <col min="16" max="16" width="5.7109375" customWidth="1"/>
    <col min="17" max="17" width="11.7109375" customWidth="1"/>
    <col min="18" max="18" width="5.7109375" customWidth="1"/>
    <col min="19" max="19" width="11.7109375" customWidth="1"/>
    <col min="20" max="20" width="5.7109375" customWidth="1"/>
    <col min="21" max="21" width="11.7109375" customWidth="1"/>
    <col min="22" max="22" width="5.7109375" customWidth="1"/>
    <col min="23" max="23" width="11.7109375" customWidth="1"/>
    <col min="24" max="24" width="5.7109375" customWidth="1"/>
    <col min="25" max="25" width="11.7109375" customWidth="1"/>
    <col min="26" max="26" width="5.7109375" customWidth="1"/>
    <col min="27" max="27" width="11.7109375" customWidth="1"/>
    <col min="28" max="28" width="5.7109375" customWidth="1"/>
    <col min="29" max="29" width="11.7109375" customWidth="1"/>
    <col min="30" max="30" width="5.7109375" customWidth="1"/>
    <col min="31" max="31" width="11.7109375" customWidth="1"/>
    <col min="32" max="32" width="5.7109375" customWidth="1"/>
    <col min="33" max="33" width="11.7109375" customWidth="1"/>
    <col min="34" max="34" width="5.7109375" customWidth="1"/>
    <col min="35" max="35" width="11.7109375" customWidth="1"/>
    <col min="36" max="36" width="5.7109375" customWidth="1"/>
    <col min="37" max="37" width="11.7109375" customWidth="1"/>
    <col min="38" max="38" width="5.7109375" customWidth="1"/>
    <col min="39" max="39" width="11.7109375" customWidth="1"/>
    <col min="40" max="40" width="5.7109375" customWidth="1"/>
    <col min="41" max="41" width="11.7109375" customWidth="1"/>
    <col min="42" max="42" width="5.7109375" customWidth="1"/>
    <col min="43" max="43" width="11.7109375" customWidth="1"/>
    <col min="44" max="44" width="5.7109375" customWidth="1"/>
    <col min="45" max="45" width="11.7109375" customWidth="1"/>
    <col min="46" max="46" width="5.7109375" customWidth="1"/>
    <col min="47" max="47" width="11.7109375" customWidth="1"/>
    <col min="48" max="48" width="5.7109375" customWidth="1"/>
    <col min="49" max="49" width="11.7109375" customWidth="1"/>
    <col min="50" max="50" width="5.7109375" customWidth="1"/>
    <col min="51" max="51" width="11.7109375" customWidth="1"/>
    <col min="52" max="52" width="5.7109375" customWidth="1"/>
    <col min="53" max="53" width="11.7109375" customWidth="1"/>
    <col min="54" max="54" width="5.7109375" customWidth="1"/>
    <col min="55" max="55" width="11.7109375" customWidth="1"/>
    <col min="56" max="56" width="5.7109375" customWidth="1"/>
    <col min="57" max="57" width="11.7109375" customWidth="1"/>
    <col min="58" max="58" width="5.7109375" customWidth="1"/>
  </cols>
  <sheetData>
    <row r="1" spans="1:58">
      <c r="A1" s="6" t="s">
        <v>0</v>
      </c>
    </row>
    <row r="2" spans="1:58">
      <c r="A2" s="7" t="s">
        <v>72</v>
      </c>
    </row>
    <row r="3" spans="1:58">
      <c r="A3" s="7" t="s">
        <v>22</v>
      </c>
      <c r="B3" s="12" t="s">
        <v>23</v>
      </c>
      <c r="D3" s="13" t="s">
        <v>31</v>
      </c>
    </row>
    <row r="4" spans="1:58">
      <c r="A4" s="7" t="s">
        <v>24</v>
      </c>
      <c r="B4" s="12" t="s">
        <v>25</v>
      </c>
      <c r="D4" s="9" t="s">
        <v>32</v>
      </c>
      <c r="E4" s="11" t="s">
        <v>42</v>
      </c>
      <c r="F4" s="11"/>
      <c r="G4" s="11" t="s">
        <v>43</v>
      </c>
      <c r="H4" s="11"/>
      <c r="I4" s="11" t="s">
        <v>44</v>
      </c>
      <c r="J4" s="11"/>
      <c r="K4" s="11" t="s">
        <v>45</v>
      </c>
      <c r="L4" s="11"/>
      <c r="M4" s="11" t="s">
        <v>46</v>
      </c>
      <c r="N4" s="11"/>
      <c r="O4" s="11" t="s">
        <v>47</v>
      </c>
      <c r="P4" s="11"/>
      <c r="Q4" s="11" t="s">
        <v>48</v>
      </c>
      <c r="R4" s="11"/>
      <c r="S4" s="11" t="s">
        <v>49</v>
      </c>
      <c r="T4" s="11"/>
      <c r="U4" s="11" t="s">
        <v>50</v>
      </c>
      <c r="V4" s="11"/>
      <c r="W4" s="11" t="s">
        <v>51</v>
      </c>
      <c r="X4" s="11"/>
      <c r="Y4" s="11" t="s">
        <v>52</v>
      </c>
      <c r="Z4" s="11"/>
      <c r="AA4" s="11" t="s">
        <v>53</v>
      </c>
      <c r="AB4" s="11"/>
      <c r="AC4" s="11" t="s">
        <v>54</v>
      </c>
      <c r="AD4" s="11"/>
      <c r="AE4" s="11" t="s">
        <v>55</v>
      </c>
      <c r="AF4" s="11"/>
      <c r="AG4" s="11" t="s">
        <v>56</v>
      </c>
      <c r="AH4" s="11"/>
      <c r="AI4" s="11" t="s">
        <v>57</v>
      </c>
      <c r="AJ4" s="11"/>
      <c r="AK4" s="11" t="s">
        <v>58</v>
      </c>
      <c r="AL4" s="11"/>
      <c r="AM4" s="11" t="s">
        <v>59</v>
      </c>
      <c r="AN4" s="11"/>
      <c r="AO4" s="11" t="s">
        <v>60</v>
      </c>
      <c r="AP4" s="11"/>
      <c r="AQ4" s="11" t="s">
        <v>61</v>
      </c>
      <c r="AR4" s="11"/>
      <c r="AS4" s="11" t="s">
        <v>62</v>
      </c>
      <c r="AT4" s="11"/>
      <c r="AU4" s="11" t="s">
        <v>63</v>
      </c>
      <c r="AV4" s="11"/>
      <c r="AW4" s="11" t="s">
        <v>64</v>
      </c>
      <c r="AX4" s="11"/>
      <c r="AY4" s="11" t="s">
        <v>65</v>
      </c>
      <c r="AZ4" s="11"/>
      <c r="BA4" s="11" t="s">
        <v>66</v>
      </c>
      <c r="BB4" s="11"/>
      <c r="BC4" s="11" t="s">
        <v>67</v>
      </c>
      <c r="BD4" s="11"/>
      <c r="BE4" s="11" t="s">
        <v>68</v>
      </c>
      <c r="BF4" s="11"/>
    </row>
    <row r="5" spans="1:58">
      <c r="D5" s="11" t="s">
        <v>33</v>
      </c>
      <c r="E5" s="14" t="s">
        <v>111</v>
      </c>
      <c r="F5" s="14"/>
      <c r="G5" s="14" t="s">
        <v>112</v>
      </c>
      <c r="H5" s="14"/>
      <c r="I5" s="14" t="s">
        <v>113</v>
      </c>
      <c r="J5" s="14"/>
      <c r="K5" s="14" t="s">
        <v>114</v>
      </c>
      <c r="L5" s="14"/>
      <c r="M5" s="14" t="s">
        <v>115</v>
      </c>
      <c r="N5" s="14"/>
      <c r="O5" s="14" t="s">
        <v>116</v>
      </c>
      <c r="P5" s="14"/>
      <c r="Q5" s="14" t="s">
        <v>117</v>
      </c>
      <c r="R5" s="14"/>
      <c r="S5" s="14" t="s">
        <v>118</v>
      </c>
      <c r="T5" s="14"/>
      <c r="U5" s="14" t="s">
        <v>119</v>
      </c>
      <c r="V5" s="14"/>
      <c r="W5" s="14" t="s">
        <v>120</v>
      </c>
      <c r="X5" s="14"/>
      <c r="Y5" s="14" t="s">
        <v>121</v>
      </c>
      <c r="Z5" s="14"/>
      <c r="AA5" s="14" t="s">
        <v>122</v>
      </c>
      <c r="AB5" s="14"/>
      <c r="AC5" s="14" t="s">
        <v>123</v>
      </c>
      <c r="AD5" s="14"/>
      <c r="AE5" s="14" t="s">
        <v>124</v>
      </c>
      <c r="AF5" s="14"/>
      <c r="AG5" s="14" t="s">
        <v>125</v>
      </c>
      <c r="AH5" s="14"/>
      <c r="AI5" s="14" t="s">
        <v>126</v>
      </c>
      <c r="AJ5" s="14"/>
      <c r="AK5" s="14" t="s">
        <v>127</v>
      </c>
      <c r="AL5" s="14"/>
      <c r="AM5" s="14" t="s">
        <v>128</v>
      </c>
      <c r="AN5" s="14"/>
      <c r="AO5" s="14" t="s">
        <v>129</v>
      </c>
      <c r="AP5" s="14"/>
      <c r="AQ5" s="14" t="s">
        <v>130</v>
      </c>
      <c r="AR5" s="14"/>
      <c r="AS5" s="14" t="s">
        <v>131</v>
      </c>
      <c r="AT5" s="14"/>
      <c r="AU5" s="14" t="s">
        <v>132</v>
      </c>
      <c r="AV5" s="14"/>
      <c r="AW5" s="14" t="s">
        <v>133</v>
      </c>
      <c r="AX5" s="14"/>
      <c r="AY5" s="14" t="s">
        <v>134</v>
      </c>
      <c r="AZ5" s="14"/>
      <c r="BA5" s="14" t="s">
        <v>135</v>
      </c>
      <c r="BB5" s="14"/>
      <c r="BC5" s="14" t="s">
        <v>136</v>
      </c>
      <c r="BD5" s="14"/>
      <c r="BE5" s="14" t="s">
        <v>137</v>
      </c>
      <c r="BF5" s="14"/>
    </row>
    <row r="6" spans="1:58">
      <c r="A6" s="6" t="s">
        <v>73</v>
      </c>
      <c r="B6" s="7" t="s">
        <v>74</v>
      </c>
      <c r="D6" s="11" t="s">
        <v>34</v>
      </c>
      <c r="E6" s="15">
        <v>1.1261</v>
      </c>
      <c r="F6" s="15"/>
      <c r="G6" s="15">
        <v>1.1612</v>
      </c>
      <c r="H6" s="15"/>
      <c r="I6" s="15">
        <v>1.1416</v>
      </c>
      <c r="J6" s="15"/>
      <c r="K6" s="15">
        <v>1.1518</v>
      </c>
      <c r="L6" s="15"/>
      <c r="M6" s="15">
        <v>1.1773</v>
      </c>
      <c r="N6" s="15"/>
      <c r="O6" s="15">
        <v>1.1561</v>
      </c>
      <c r="P6" s="15"/>
      <c r="Q6" s="15">
        <v>1.1008</v>
      </c>
      <c r="R6" s="15"/>
      <c r="S6" s="15">
        <v>1.183</v>
      </c>
      <c r="T6" s="15"/>
      <c r="U6" s="15">
        <v>1.0772</v>
      </c>
      <c r="V6" s="15"/>
      <c r="W6" s="15">
        <v>1.1411</v>
      </c>
      <c r="X6" s="15"/>
      <c r="Y6" s="15">
        <v>1.1623</v>
      </c>
      <c r="Z6" s="15"/>
      <c r="AA6" s="15">
        <v>1.1571</v>
      </c>
      <c r="AB6" s="15"/>
      <c r="AC6" s="15">
        <v>1.0533</v>
      </c>
      <c r="AD6" s="15"/>
      <c r="AE6" s="15">
        <v>1.1942</v>
      </c>
      <c r="AF6" s="15"/>
      <c r="AG6" s="15">
        <v>1.1819</v>
      </c>
      <c r="AH6" s="15"/>
      <c r="AI6" s="15">
        <v>1.1463</v>
      </c>
      <c r="AJ6" s="15"/>
      <c r="AK6" s="15">
        <v>1.1378</v>
      </c>
      <c r="AL6" s="15"/>
      <c r="AM6" s="15">
        <v>1.1628</v>
      </c>
      <c r="AN6" s="15"/>
      <c r="AO6" s="15">
        <v>1.1249</v>
      </c>
      <c r="AP6" s="15"/>
      <c r="AQ6" s="15">
        <v>1.1683</v>
      </c>
      <c r="AR6" s="15"/>
      <c r="AS6" s="15">
        <v>1.1571</v>
      </c>
      <c r="AT6" s="15"/>
      <c r="AU6" s="15">
        <v>1.1479</v>
      </c>
      <c r="AV6" s="15"/>
      <c r="AW6" s="15">
        <v>1.1195</v>
      </c>
      <c r="AX6" s="15"/>
      <c r="AY6" s="15">
        <v>1.1447</v>
      </c>
      <c r="AZ6" s="15"/>
      <c r="BA6" s="15">
        <v>1.1151</v>
      </c>
      <c r="BB6" s="15"/>
      <c r="BC6" s="15">
        <v>1.1501</v>
      </c>
      <c r="BD6" s="15"/>
      <c r="BE6" s="15">
        <v>1.1523</v>
      </c>
      <c r="BF6" s="15"/>
    </row>
    <row r="7" spans="1:58">
      <c r="B7" s="7" t="s">
        <v>75</v>
      </c>
      <c r="D7" s="11" t="s">
        <v>35</v>
      </c>
      <c r="E7" s="15">
        <v>0.6903</v>
      </c>
      <c r="F7" s="15"/>
      <c r="G7" s="15">
        <v>0.7125</v>
      </c>
      <c r="H7" s="15"/>
      <c r="I7" s="15">
        <v>0.708</v>
      </c>
      <c r="J7" s="15"/>
      <c r="K7" s="15">
        <v>0.7006</v>
      </c>
      <c r="L7" s="15"/>
      <c r="M7" s="15">
        <v>0.7285</v>
      </c>
      <c r="N7" s="15"/>
      <c r="O7" s="15">
        <v>0.7246</v>
      </c>
      <c r="P7" s="15"/>
      <c r="Q7" s="15">
        <v>0.6994</v>
      </c>
      <c r="R7" s="15"/>
      <c r="S7" s="15">
        <v>0.7385</v>
      </c>
      <c r="T7" s="15"/>
      <c r="U7" s="15">
        <v>0.6928</v>
      </c>
      <c r="V7" s="15"/>
      <c r="W7" s="15">
        <v>0.713</v>
      </c>
      <c r="X7" s="15"/>
      <c r="Y7" s="15">
        <v>0.7383</v>
      </c>
      <c r="Z7" s="15"/>
      <c r="AA7" s="15">
        <v>0.7157</v>
      </c>
      <c r="AB7" s="15"/>
      <c r="AC7" s="15">
        <v>0.6783</v>
      </c>
      <c r="AD7" s="15"/>
      <c r="AE7" s="15">
        <v>0.727</v>
      </c>
      <c r="AF7" s="15"/>
      <c r="AG7" s="15">
        <v>0.7266</v>
      </c>
      <c r="AH7" s="15"/>
      <c r="AI7" s="15">
        <v>0.7067</v>
      </c>
      <c r="AJ7" s="15"/>
      <c r="AK7" s="15">
        <v>0.7159</v>
      </c>
      <c r="AL7" s="15"/>
      <c r="AM7" s="15">
        <v>0.7242</v>
      </c>
      <c r="AN7" s="15"/>
      <c r="AO7" s="15">
        <v>0.6966</v>
      </c>
      <c r="AP7" s="15"/>
      <c r="AQ7" s="15">
        <v>0.7229</v>
      </c>
      <c r="AR7" s="15"/>
      <c r="AS7" s="15">
        <v>0.7065</v>
      </c>
      <c r="AT7" s="15"/>
      <c r="AU7" s="15">
        <v>0.7035</v>
      </c>
      <c r="AV7" s="15"/>
      <c r="AW7" s="15">
        <v>0.6929</v>
      </c>
      <c r="AX7" s="15"/>
      <c r="AY7" s="15">
        <v>0.7103</v>
      </c>
      <c r="AZ7" s="15"/>
      <c r="BA7" s="15">
        <v>0.6972</v>
      </c>
      <c r="BB7" s="15"/>
      <c r="BC7" s="15">
        <v>0.7118</v>
      </c>
      <c r="BD7" s="15"/>
      <c r="BE7" s="15">
        <v>0.7198</v>
      </c>
      <c r="BF7" s="15"/>
    </row>
    <row r="8" spans="1:58">
      <c r="B8" s="7" t="s">
        <v>76</v>
      </c>
    </row>
    <row r="9" spans="1:58">
      <c r="B9" s="7" t="s">
        <v>77</v>
      </c>
      <c r="E9" s="11" t="s">
        <v>42</v>
      </c>
      <c r="F9" s="11"/>
      <c r="G9" s="11" t="s">
        <v>43</v>
      </c>
      <c r="H9" s="11"/>
      <c r="I9" s="11" t="s">
        <v>44</v>
      </c>
      <c r="J9" s="11"/>
      <c r="K9" s="11" t="s">
        <v>45</v>
      </c>
      <c r="L9" s="11"/>
      <c r="M9" s="11" t="s">
        <v>46</v>
      </c>
      <c r="N9" s="11"/>
      <c r="O9" s="11" t="s">
        <v>47</v>
      </c>
      <c r="P9" s="11"/>
      <c r="Q9" s="11" t="s">
        <v>48</v>
      </c>
      <c r="R9" s="11"/>
      <c r="S9" s="11" t="s">
        <v>49</v>
      </c>
      <c r="T9" s="11"/>
      <c r="U9" s="11" t="s">
        <v>50</v>
      </c>
      <c r="V9" s="11"/>
      <c r="W9" s="11" t="s">
        <v>51</v>
      </c>
      <c r="X9" s="11"/>
      <c r="Y9" s="11" t="s">
        <v>52</v>
      </c>
      <c r="Z9" s="11"/>
      <c r="AA9" s="11" t="s">
        <v>53</v>
      </c>
      <c r="AB9" s="11"/>
      <c r="AC9" s="11" t="s">
        <v>54</v>
      </c>
      <c r="AD9" s="11"/>
      <c r="AE9" s="11" t="s">
        <v>55</v>
      </c>
      <c r="AF9" s="11"/>
      <c r="AG9" s="11" t="s">
        <v>56</v>
      </c>
      <c r="AH9" s="11"/>
      <c r="AI9" s="11" t="s">
        <v>57</v>
      </c>
      <c r="AJ9" s="11"/>
      <c r="AK9" s="11" t="s">
        <v>58</v>
      </c>
      <c r="AL9" s="11"/>
      <c r="AM9" s="11" t="s">
        <v>59</v>
      </c>
      <c r="AN9" s="11"/>
      <c r="AO9" s="11" t="s">
        <v>60</v>
      </c>
      <c r="AP9" s="11"/>
      <c r="AQ9" s="11" t="s">
        <v>61</v>
      </c>
      <c r="AR9" s="11"/>
      <c r="AS9" s="11" t="s">
        <v>62</v>
      </c>
      <c r="AT9" s="11"/>
      <c r="AU9" s="11" t="s">
        <v>63</v>
      </c>
      <c r="AV9" s="11"/>
      <c r="AW9" s="11" t="s">
        <v>64</v>
      </c>
      <c r="AX9" s="11"/>
      <c r="AY9" s="11" t="s">
        <v>65</v>
      </c>
      <c r="AZ9" s="11"/>
      <c r="BA9" s="11" t="s">
        <v>66</v>
      </c>
      <c r="BB9" s="11"/>
      <c r="BC9" s="11" t="s">
        <v>67</v>
      </c>
      <c r="BD9" s="11"/>
      <c r="BE9" s="11" t="s">
        <v>68</v>
      </c>
      <c r="BF9" s="11"/>
    </row>
    <row r="10" spans="1:58">
      <c r="A10" s="11" t="s">
        <v>78</v>
      </c>
      <c r="B10" s="11" t="s">
        <v>79</v>
      </c>
      <c r="C10" s="11" t="s">
        <v>20</v>
      </c>
      <c r="D10" s="11" t="s">
        <v>21</v>
      </c>
      <c r="E10" s="11" t="s">
        <v>80</v>
      </c>
      <c r="F10" s="11" t="s">
        <v>81</v>
      </c>
      <c r="G10" s="11" t="s">
        <v>80</v>
      </c>
      <c r="H10" s="11" t="s">
        <v>81</v>
      </c>
      <c r="I10" s="11" t="s">
        <v>80</v>
      </c>
      <c r="J10" s="11" t="s">
        <v>81</v>
      </c>
      <c r="K10" s="11" t="s">
        <v>80</v>
      </c>
      <c r="L10" s="11" t="s">
        <v>81</v>
      </c>
      <c r="M10" s="11" t="s">
        <v>80</v>
      </c>
      <c r="N10" s="11" t="s">
        <v>81</v>
      </c>
      <c r="O10" s="11" t="s">
        <v>80</v>
      </c>
      <c r="P10" s="11" t="s">
        <v>81</v>
      </c>
      <c r="Q10" s="11" t="s">
        <v>80</v>
      </c>
      <c r="R10" s="11" t="s">
        <v>81</v>
      </c>
      <c r="S10" s="11" t="s">
        <v>80</v>
      </c>
      <c r="T10" s="11" t="s">
        <v>81</v>
      </c>
      <c r="U10" s="11" t="s">
        <v>80</v>
      </c>
      <c r="V10" s="11" t="s">
        <v>81</v>
      </c>
      <c r="W10" s="11" t="s">
        <v>80</v>
      </c>
      <c r="X10" s="11" t="s">
        <v>81</v>
      </c>
      <c r="Y10" s="11" t="s">
        <v>80</v>
      </c>
      <c r="Z10" s="11" t="s">
        <v>81</v>
      </c>
      <c r="AA10" s="11" t="s">
        <v>80</v>
      </c>
      <c r="AB10" s="11" t="s">
        <v>81</v>
      </c>
      <c r="AC10" s="11" t="s">
        <v>80</v>
      </c>
      <c r="AD10" s="11" t="s">
        <v>81</v>
      </c>
      <c r="AE10" s="11" t="s">
        <v>80</v>
      </c>
      <c r="AF10" s="11" t="s">
        <v>81</v>
      </c>
      <c r="AG10" s="11" t="s">
        <v>80</v>
      </c>
      <c r="AH10" s="11" t="s">
        <v>81</v>
      </c>
      <c r="AI10" s="11" t="s">
        <v>80</v>
      </c>
      <c r="AJ10" s="11" t="s">
        <v>81</v>
      </c>
      <c r="AK10" s="11" t="s">
        <v>80</v>
      </c>
      <c r="AL10" s="11" t="s">
        <v>81</v>
      </c>
      <c r="AM10" s="11" t="s">
        <v>80</v>
      </c>
      <c r="AN10" s="11" t="s">
        <v>81</v>
      </c>
      <c r="AO10" s="11" t="s">
        <v>80</v>
      </c>
      <c r="AP10" s="11" t="s">
        <v>81</v>
      </c>
      <c r="AQ10" s="11" t="s">
        <v>80</v>
      </c>
      <c r="AR10" s="11" t="s">
        <v>81</v>
      </c>
      <c r="AS10" s="11" t="s">
        <v>80</v>
      </c>
      <c r="AT10" s="11" t="s">
        <v>81</v>
      </c>
      <c r="AU10" s="11" t="s">
        <v>80</v>
      </c>
      <c r="AV10" s="11" t="s">
        <v>81</v>
      </c>
      <c r="AW10" s="11" t="s">
        <v>80</v>
      </c>
      <c r="AX10" s="11" t="s">
        <v>81</v>
      </c>
      <c r="AY10" s="11" t="s">
        <v>80</v>
      </c>
      <c r="AZ10" s="11" t="s">
        <v>81</v>
      </c>
      <c r="BA10" s="11" t="s">
        <v>80</v>
      </c>
      <c r="BB10" s="11" t="s">
        <v>81</v>
      </c>
      <c r="BC10" s="11" t="s">
        <v>80</v>
      </c>
      <c r="BD10" s="11" t="s">
        <v>81</v>
      </c>
      <c r="BE10" s="11" t="s">
        <v>80</v>
      </c>
      <c r="BF10" s="11" t="s">
        <v>81</v>
      </c>
    </row>
    <row r="11" spans="1:58">
      <c r="A11" s="17" t="s">
        <v>165</v>
      </c>
      <c r="B11" s="18">
        <f>HYPERLINK("#"&amp;CELL("address",OFFSET(Analítico!$B$1,MATCH(104658,Analítico!$B:$B,0)-1,3)),104658)</f>
        <v>0</v>
      </c>
      <c r="C11" s="7" t="s">
        <v>166</v>
      </c>
      <c r="D11" s="18" t="s">
        <v>151</v>
      </c>
      <c r="E11" s="19">
        <v>253.45</v>
      </c>
      <c r="F11" s="20">
        <v>0</v>
      </c>
      <c r="G11" s="19">
        <v>156.56</v>
      </c>
      <c r="H11" s="20">
        <v>0</v>
      </c>
      <c r="I11" s="19">
        <v>225.64</v>
      </c>
      <c r="J11" s="20">
        <v>0</v>
      </c>
      <c r="K11" s="19">
        <v>197.64</v>
      </c>
      <c r="L11" s="20">
        <v>0</v>
      </c>
      <c r="M11" s="19">
        <v>169.1</v>
      </c>
      <c r="N11" s="20">
        <v>0</v>
      </c>
      <c r="O11" s="19">
        <v>164.82</v>
      </c>
      <c r="P11" s="20">
        <v>0</v>
      </c>
      <c r="Q11" s="19">
        <v>189.38</v>
      </c>
      <c r="R11" s="20">
        <v>0</v>
      </c>
      <c r="S11" s="19">
        <v>178.3</v>
      </c>
      <c r="T11" s="20">
        <v>0</v>
      </c>
      <c r="U11" s="19">
        <v>178.92</v>
      </c>
      <c r="V11" s="20">
        <v>0</v>
      </c>
      <c r="W11" s="19">
        <v>163.59</v>
      </c>
      <c r="X11" s="20">
        <v>0</v>
      </c>
      <c r="Y11" s="19">
        <v>165.14</v>
      </c>
      <c r="Z11" s="20">
        <v>0</v>
      </c>
      <c r="AA11" s="19">
        <v>175.12</v>
      </c>
      <c r="AB11" s="20">
        <v>0</v>
      </c>
      <c r="AC11" s="19">
        <v>214.63</v>
      </c>
      <c r="AD11" s="20">
        <v>0</v>
      </c>
      <c r="AE11" s="19">
        <v>173.16</v>
      </c>
      <c r="AF11" s="20">
        <v>0</v>
      </c>
      <c r="AG11" s="19">
        <v>144.37</v>
      </c>
      <c r="AH11" s="20">
        <v>0</v>
      </c>
      <c r="AI11" s="19">
        <v>154.23</v>
      </c>
      <c r="AJ11" s="20">
        <v>0</v>
      </c>
      <c r="AK11" s="19">
        <v>149.09</v>
      </c>
      <c r="AL11" s="20">
        <v>0</v>
      </c>
      <c r="AM11" s="19">
        <v>160.31</v>
      </c>
      <c r="AN11" s="20">
        <v>0</v>
      </c>
      <c r="AO11" s="19">
        <v>181.78</v>
      </c>
      <c r="AP11" s="20">
        <v>0</v>
      </c>
      <c r="AQ11" s="19">
        <v>168.74</v>
      </c>
      <c r="AR11" s="20">
        <v>0</v>
      </c>
      <c r="AS11" s="19">
        <v>210.5</v>
      </c>
      <c r="AT11" s="20">
        <v>0</v>
      </c>
      <c r="AU11" s="19">
        <v>266.95</v>
      </c>
      <c r="AV11" s="20">
        <v>0</v>
      </c>
      <c r="AW11" s="19">
        <v>156.01</v>
      </c>
      <c r="AX11" s="20">
        <v>0</v>
      </c>
      <c r="AY11" s="19">
        <v>151.63</v>
      </c>
      <c r="AZ11" s="20">
        <v>0</v>
      </c>
      <c r="BA11" s="19">
        <v>169.75</v>
      </c>
      <c r="BB11" s="20">
        <v>0</v>
      </c>
      <c r="BC11" s="19">
        <v>194.52</v>
      </c>
      <c r="BD11" s="20">
        <v>0</v>
      </c>
      <c r="BE11" s="19">
        <v>195.61</v>
      </c>
      <c r="BF11" s="20">
        <v>0</v>
      </c>
    </row>
    <row r="112" spans="1:58">
      <c r="A112" s="17" t="s">
        <v>167</v>
      </c>
      <c r="B112" s="18">
        <f>HYPERLINK("#"&amp;CELL("address",OFFSET(Analítico!$B$1,MATCH(87398,Analítico!$B:$B,0)-1,3)),87398)</f>
        <v>0</v>
      </c>
      <c r="C112" s="7" t="s">
        <v>168</v>
      </c>
      <c r="D112" s="18" t="s">
        <v>144</v>
      </c>
      <c r="E112" s="19">
        <v>2984.07</v>
      </c>
      <c r="F112" s="20">
        <v>0</v>
      </c>
      <c r="G112" s="19">
        <v>2348.66</v>
      </c>
      <c r="H112" s="20">
        <v>0</v>
      </c>
      <c r="I112" s="19">
        <v>2968.16</v>
      </c>
      <c r="J112" s="20">
        <v>0</v>
      </c>
      <c r="K112" s="19">
        <v>2588.58</v>
      </c>
      <c r="L112" s="20">
        <v>0</v>
      </c>
      <c r="M112" s="19">
        <v>2063.74</v>
      </c>
      <c r="N112" s="20">
        <v>0</v>
      </c>
      <c r="O112" s="19">
        <v>2717.44</v>
      </c>
      <c r="P112" s="20">
        <v>0</v>
      </c>
      <c r="Q112" s="19">
        <v>1620.23</v>
      </c>
      <c r="R112" s="20">
        <v>0</v>
      </c>
      <c r="S112" s="19">
        <v>1857.83</v>
      </c>
      <c r="T112" s="20">
        <v>0</v>
      </c>
      <c r="U112" s="19">
        <v>1936.38</v>
      </c>
      <c r="V112" s="20">
        <v>0</v>
      </c>
      <c r="W112" s="19">
        <v>2396.8</v>
      </c>
      <c r="X112" s="20">
        <v>0</v>
      </c>
      <c r="Y112" s="19">
        <v>1711.83</v>
      </c>
      <c r="Z112" s="20">
        <v>0</v>
      </c>
      <c r="AA112" s="19">
        <v>2233.24</v>
      </c>
      <c r="AB112" s="20">
        <v>0</v>
      </c>
      <c r="AC112" s="19">
        <v>2881.12</v>
      </c>
      <c r="AD112" s="20">
        <v>0</v>
      </c>
      <c r="AE112" s="19">
        <v>2190.61</v>
      </c>
      <c r="AF112" s="20">
        <v>0</v>
      </c>
      <c r="AG112" s="19">
        <v>1937.52</v>
      </c>
      <c r="AH112" s="20">
        <v>0</v>
      </c>
      <c r="AI112" s="19">
        <v>2365.4</v>
      </c>
      <c r="AJ112" s="20">
        <v>0</v>
      </c>
      <c r="AK112" s="19">
        <v>1790.97</v>
      </c>
      <c r="AL112" s="20">
        <v>0</v>
      </c>
      <c r="AM112" s="19">
        <v>1964.15</v>
      </c>
      <c r="AN112" s="20">
        <v>0</v>
      </c>
      <c r="AO112" s="19">
        <v>1840.79</v>
      </c>
      <c r="AP112" s="20">
        <v>0</v>
      </c>
      <c r="AQ112" s="19">
        <v>2344.1</v>
      </c>
      <c r="AR112" s="20">
        <v>0</v>
      </c>
      <c r="AS112" s="19">
        <v>2529.05</v>
      </c>
      <c r="AT112" s="20">
        <v>0</v>
      </c>
      <c r="AU112" s="19">
        <v>3730.61</v>
      </c>
      <c r="AV112" s="20">
        <v>0</v>
      </c>
      <c r="AW112" s="19">
        <v>1956.9</v>
      </c>
      <c r="AX112" s="20">
        <v>0</v>
      </c>
      <c r="AY112" s="19">
        <v>1769.65</v>
      </c>
      <c r="AZ112" s="20">
        <v>0</v>
      </c>
      <c r="BA112" s="19">
        <v>2196.32</v>
      </c>
      <c r="BB112" s="20">
        <v>0</v>
      </c>
      <c r="BC112" s="19">
        <v>2036.47</v>
      </c>
      <c r="BD112" s="20">
        <v>0</v>
      </c>
      <c r="BE112" s="19">
        <v>1824.75</v>
      </c>
      <c r="BF112" s="20">
        <v>0</v>
      </c>
    </row>
    <row r="1105" spans="1:58">
      <c r="A1105" s="17" t="s">
        <v>169</v>
      </c>
      <c r="B1105" s="18">
        <f>HYPERLINK("#"&amp;CELL("address",OFFSET(Analítico!$B$1,MATCH(104943,Analítico!$B:$B,0)-1,3)),104943)</f>
        <v>0</v>
      </c>
      <c r="C1105" s="7" t="s">
        <v>170</v>
      </c>
      <c r="D1105" s="18" t="s">
        <v>151</v>
      </c>
      <c r="E1105" s="19">
        <v>0</v>
      </c>
      <c r="F1105" s="20"/>
      <c r="G1105" s="19">
        <v>0</v>
      </c>
      <c r="H1105" s="20"/>
      <c r="I1105" s="19">
        <v>0</v>
      </c>
      <c r="J1105" s="20"/>
      <c r="K1105" s="19">
        <v>0</v>
      </c>
      <c r="L1105" s="20"/>
      <c r="M1105" s="19">
        <v>0</v>
      </c>
      <c r="N1105" s="20"/>
      <c r="O1105" s="19">
        <v>0</v>
      </c>
      <c r="P1105" s="20"/>
      <c r="Q1105" s="19">
        <v>0</v>
      </c>
      <c r="R1105" s="20"/>
      <c r="S1105" s="19">
        <v>0</v>
      </c>
      <c r="T1105" s="20"/>
      <c r="U1105" s="19">
        <v>0</v>
      </c>
      <c r="V1105" s="20"/>
      <c r="W1105" s="19">
        <v>0</v>
      </c>
      <c r="X1105" s="20"/>
      <c r="Y1105" s="19">
        <v>0</v>
      </c>
      <c r="Z1105" s="20"/>
      <c r="AA1105" s="19">
        <v>0</v>
      </c>
      <c r="AB1105" s="20"/>
      <c r="AC1105" s="19">
        <v>0</v>
      </c>
      <c r="AD1105" s="20"/>
      <c r="AE1105" s="19">
        <v>0</v>
      </c>
      <c r="AF1105" s="20"/>
      <c r="AG1105" s="19">
        <v>0</v>
      </c>
      <c r="AH1105" s="20"/>
      <c r="AI1105" s="19">
        <v>0</v>
      </c>
      <c r="AJ1105" s="20"/>
      <c r="AK1105" s="19">
        <v>0</v>
      </c>
      <c r="AL1105" s="20"/>
      <c r="AM1105" s="19">
        <v>0</v>
      </c>
      <c r="AN1105" s="20"/>
      <c r="AO1105" s="19">
        <v>0</v>
      </c>
      <c r="AP1105" s="20"/>
      <c r="AQ1105" s="19">
        <v>0</v>
      </c>
      <c r="AR1105" s="20"/>
      <c r="AS1105" s="19">
        <v>0</v>
      </c>
      <c r="AT1105" s="20"/>
      <c r="AU1105" s="19">
        <v>0</v>
      </c>
      <c r="AV1105" s="20"/>
      <c r="AW1105" s="19">
        <v>0</v>
      </c>
      <c r="AX1105" s="20"/>
      <c r="AY1105" s="19">
        <v>0</v>
      </c>
      <c r="AZ1105" s="20"/>
      <c r="BA1105" s="19">
        <v>0</v>
      </c>
      <c r="BB1105" s="20"/>
      <c r="BC1105" s="19">
        <v>0</v>
      </c>
      <c r="BD1105" s="20"/>
      <c r="BE1105" s="19">
        <v>0</v>
      </c>
      <c r="BF1105" s="20"/>
    </row>
    <row r="1493" spans="1:58">
      <c r="A1493" s="17" t="s">
        <v>171</v>
      </c>
      <c r="B1493" s="18">
        <f>HYPERLINK("#"&amp;CELL("address",OFFSET(Analítico!$B$1,MATCH(102953,Analítico!$B:$B,0)-1,3)),102953)</f>
        <v>0</v>
      </c>
      <c r="C1493" s="7" t="s">
        <v>173</v>
      </c>
      <c r="D1493" s="18" t="s">
        <v>172</v>
      </c>
      <c r="E1493" s="19">
        <v>0</v>
      </c>
      <c r="F1493" s="20"/>
      <c r="G1493" s="19">
        <v>0</v>
      </c>
      <c r="H1493" s="20"/>
      <c r="I1493" s="19">
        <v>0</v>
      </c>
      <c r="J1493" s="20"/>
      <c r="K1493" s="19">
        <v>0</v>
      </c>
      <c r="L1493" s="20"/>
      <c r="M1493" s="19">
        <v>0</v>
      </c>
      <c r="N1493" s="20"/>
      <c r="O1493" s="19">
        <v>0</v>
      </c>
      <c r="P1493" s="20"/>
      <c r="Q1493" s="19">
        <v>0</v>
      </c>
      <c r="R1493" s="20"/>
      <c r="S1493" s="19">
        <v>0</v>
      </c>
      <c r="T1493" s="20"/>
      <c r="U1493" s="19">
        <v>0</v>
      </c>
      <c r="V1493" s="20"/>
      <c r="W1493" s="19">
        <v>0</v>
      </c>
      <c r="X1493" s="20"/>
      <c r="Y1493" s="19">
        <v>0</v>
      </c>
      <c r="Z1493" s="20"/>
      <c r="AA1493" s="19">
        <v>0</v>
      </c>
      <c r="AB1493" s="20"/>
      <c r="AC1493" s="19">
        <v>0</v>
      </c>
      <c r="AD1493" s="20"/>
      <c r="AE1493" s="19">
        <v>0</v>
      </c>
      <c r="AF1493" s="20"/>
      <c r="AG1493" s="19">
        <v>0</v>
      </c>
      <c r="AH1493" s="20"/>
      <c r="AI1493" s="19">
        <v>0</v>
      </c>
      <c r="AJ1493" s="20"/>
      <c r="AK1493" s="19">
        <v>0</v>
      </c>
      <c r="AL1493" s="20"/>
      <c r="AM1493" s="19">
        <v>0</v>
      </c>
      <c r="AN1493" s="20"/>
      <c r="AO1493" s="19">
        <v>0</v>
      </c>
      <c r="AP1493" s="20"/>
      <c r="AQ1493" s="19">
        <v>0</v>
      </c>
      <c r="AR1493" s="20"/>
      <c r="AS1493" s="19">
        <v>0</v>
      </c>
      <c r="AT1493" s="20"/>
      <c r="AU1493" s="19">
        <v>0</v>
      </c>
      <c r="AV1493" s="20"/>
      <c r="AW1493" s="19">
        <v>0</v>
      </c>
      <c r="AX1493" s="20"/>
      <c r="AY1493" s="19">
        <v>0</v>
      </c>
      <c r="AZ1493" s="20"/>
      <c r="BA1493" s="19">
        <v>0</v>
      </c>
      <c r="BB1493" s="20"/>
      <c r="BC1493" s="19">
        <v>0</v>
      </c>
      <c r="BD1493" s="20"/>
      <c r="BE1493" s="19">
        <v>0</v>
      </c>
      <c r="BF1493" s="20"/>
    </row>
    <row r="1981" spans="1:58">
      <c r="A1981" s="17" t="s">
        <v>174</v>
      </c>
      <c r="B1981" s="18">
        <f>HYPERLINK("#"&amp;CELL("address",OFFSET(Analítico!$B$1,MATCH(92715,Analítico!$B:$B,0)-1,3)),92715)</f>
        <v>0</v>
      </c>
      <c r="C1981" s="7" t="s">
        <v>175</v>
      </c>
      <c r="D1981" s="18" t="s">
        <v>146</v>
      </c>
      <c r="E1981" s="19">
        <v>114.72</v>
      </c>
      <c r="F1981" s="20">
        <v>1</v>
      </c>
      <c r="G1981" s="19">
        <v>139.08</v>
      </c>
      <c r="H1981" s="20">
        <v>0</v>
      </c>
      <c r="I1981" s="19">
        <v>114.72</v>
      </c>
      <c r="J1981" s="20">
        <v>1</v>
      </c>
      <c r="K1981" s="19">
        <v>114.72</v>
      </c>
      <c r="L1981" s="20">
        <v>1</v>
      </c>
      <c r="M1981" s="19">
        <v>164.59</v>
      </c>
      <c r="N1981" s="20">
        <v>0</v>
      </c>
      <c r="O1981" s="19">
        <v>105.48</v>
      </c>
      <c r="P1981" s="20">
        <v>0</v>
      </c>
      <c r="Q1981" s="19">
        <v>114.72</v>
      </c>
      <c r="R1981" s="20">
        <v>1</v>
      </c>
      <c r="S1981" s="19">
        <v>109.52</v>
      </c>
      <c r="T1981" s="20">
        <v>0</v>
      </c>
      <c r="U1981" s="19">
        <v>101.96</v>
      </c>
      <c r="V1981" s="20">
        <v>0</v>
      </c>
      <c r="W1981" s="19">
        <v>114.72</v>
      </c>
      <c r="X1981" s="20">
        <v>1</v>
      </c>
      <c r="Y1981" s="19">
        <v>83.44</v>
      </c>
      <c r="Z1981" s="20">
        <v>0</v>
      </c>
      <c r="AA1981" s="19">
        <v>104.3</v>
      </c>
      <c r="AB1981" s="20">
        <v>0</v>
      </c>
      <c r="AC1981" s="19">
        <v>124.8</v>
      </c>
      <c r="AD1981" s="20">
        <v>0</v>
      </c>
      <c r="AE1981" s="19">
        <v>114.72</v>
      </c>
      <c r="AF1981" s="20">
        <v>1</v>
      </c>
      <c r="AG1981" s="19">
        <v>114.72</v>
      </c>
      <c r="AH1981" s="20">
        <v>1</v>
      </c>
      <c r="AI1981" s="19">
        <v>114.72</v>
      </c>
      <c r="AJ1981" s="20">
        <v>1</v>
      </c>
      <c r="AK1981" s="19">
        <v>114.72</v>
      </c>
      <c r="AL1981" s="20">
        <v>1</v>
      </c>
      <c r="AM1981" s="19">
        <v>146.04</v>
      </c>
      <c r="AN1981" s="20">
        <v>0</v>
      </c>
      <c r="AO1981" s="19">
        <v>114.72</v>
      </c>
      <c r="AP1981" s="20">
        <v>1</v>
      </c>
      <c r="AQ1981" s="19">
        <v>114.72</v>
      </c>
      <c r="AR1981" s="20">
        <v>1</v>
      </c>
      <c r="AS1981" s="19">
        <v>114.72</v>
      </c>
      <c r="AT1981" s="20">
        <v>1</v>
      </c>
      <c r="AU1981" s="19">
        <v>114.72</v>
      </c>
      <c r="AV1981" s="20">
        <v>1</v>
      </c>
      <c r="AW1981" s="19">
        <v>115.24</v>
      </c>
      <c r="AX1981" s="20">
        <v>0</v>
      </c>
      <c r="AY1981" s="19">
        <v>114.72</v>
      </c>
      <c r="AZ1981" s="20">
        <v>1</v>
      </c>
      <c r="BA1981" s="19">
        <v>114.72</v>
      </c>
      <c r="BB1981" s="20">
        <v>1</v>
      </c>
      <c r="BC1981" s="19">
        <v>114.72</v>
      </c>
      <c r="BD1981" s="20">
        <v>0</v>
      </c>
      <c r="BE1981" s="19">
        <v>114.72</v>
      </c>
      <c r="BF1981" s="20">
        <v>1</v>
      </c>
    </row>
    <row r="1999" spans="1:58">
      <c r="A1999" s="17" t="s">
        <v>174</v>
      </c>
      <c r="B1999" s="18">
        <f>HYPERLINK("#"&amp;CELL("address",OFFSET(Analítico!$B$1,MATCH(102948,Analítico!$B:$B,0)-1,3)),102948)</f>
        <v>0</v>
      </c>
      <c r="C1999" s="7" t="s">
        <v>176</v>
      </c>
      <c r="D1999" s="18" t="s">
        <v>146</v>
      </c>
      <c r="E1999" s="19">
        <v>0</v>
      </c>
      <c r="F1999" s="20"/>
      <c r="G1999" s="19">
        <v>0</v>
      </c>
      <c r="H1999" s="20"/>
      <c r="I1999" s="19">
        <v>0</v>
      </c>
      <c r="J1999" s="20"/>
      <c r="K1999" s="19">
        <v>0</v>
      </c>
      <c r="L1999" s="20"/>
      <c r="M1999" s="19">
        <v>0</v>
      </c>
      <c r="N1999" s="20"/>
      <c r="O1999" s="19">
        <v>0</v>
      </c>
      <c r="P1999" s="20"/>
      <c r="Q1999" s="19">
        <v>0</v>
      </c>
      <c r="R1999" s="20"/>
      <c r="S1999" s="19">
        <v>0</v>
      </c>
      <c r="T1999" s="20"/>
      <c r="U1999" s="19">
        <v>0</v>
      </c>
      <c r="V1999" s="20"/>
      <c r="W1999" s="19">
        <v>0</v>
      </c>
      <c r="X1999" s="20"/>
      <c r="Y1999" s="19">
        <v>0</v>
      </c>
      <c r="Z1999" s="20"/>
      <c r="AA1999" s="19">
        <v>0</v>
      </c>
      <c r="AB1999" s="20"/>
      <c r="AC1999" s="19">
        <v>0</v>
      </c>
      <c r="AD1999" s="20"/>
      <c r="AE1999" s="19">
        <v>0</v>
      </c>
      <c r="AF1999" s="20"/>
      <c r="AG1999" s="19">
        <v>0</v>
      </c>
      <c r="AH1999" s="20"/>
      <c r="AI1999" s="19">
        <v>0</v>
      </c>
      <c r="AJ1999" s="20"/>
      <c r="AK1999" s="19">
        <v>0</v>
      </c>
      <c r="AL1999" s="20"/>
      <c r="AM1999" s="19">
        <v>0</v>
      </c>
      <c r="AN1999" s="20"/>
      <c r="AO1999" s="19">
        <v>0</v>
      </c>
      <c r="AP1999" s="20"/>
      <c r="AQ1999" s="19">
        <v>0</v>
      </c>
      <c r="AR1999" s="20"/>
      <c r="AS1999" s="19">
        <v>0</v>
      </c>
      <c r="AT1999" s="20"/>
      <c r="AU1999" s="19">
        <v>0</v>
      </c>
      <c r="AV1999" s="20"/>
      <c r="AW1999" s="19">
        <v>0</v>
      </c>
      <c r="AX1999" s="20"/>
      <c r="AY1999" s="19">
        <v>0</v>
      </c>
      <c r="AZ1999" s="20"/>
      <c r="BA1999" s="19">
        <v>0</v>
      </c>
      <c r="BB1999" s="20"/>
      <c r="BC1999" s="19">
        <v>0</v>
      </c>
      <c r="BD1999" s="20"/>
      <c r="BE1999" s="19">
        <v>0</v>
      </c>
      <c r="BF1999" s="20"/>
    </row>
    <row r="2000" spans="1:58">
      <c r="A2000" s="17" t="s">
        <v>174</v>
      </c>
      <c r="B2000" s="18">
        <f>HYPERLINK("#"&amp;CELL("address",OFFSET(Analítico!$B$1,MATCH(102949,Analítico!$B:$B,0)-1,3)),102949)</f>
        <v>0</v>
      </c>
      <c r="C2000" s="7" t="s">
        <v>177</v>
      </c>
      <c r="D2000" s="18" t="s">
        <v>146</v>
      </c>
      <c r="E2000" s="19">
        <v>0</v>
      </c>
      <c r="F2000" s="20"/>
      <c r="G2000" s="19">
        <v>0</v>
      </c>
      <c r="H2000" s="20"/>
      <c r="I2000" s="19">
        <v>0</v>
      </c>
      <c r="J2000" s="20"/>
      <c r="K2000" s="19">
        <v>0</v>
      </c>
      <c r="L2000" s="20"/>
      <c r="M2000" s="19">
        <v>0</v>
      </c>
      <c r="N2000" s="20"/>
      <c r="O2000" s="19">
        <v>0</v>
      </c>
      <c r="P2000" s="20"/>
      <c r="Q2000" s="19">
        <v>0</v>
      </c>
      <c r="R2000" s="20"/>
      <c r="S2000" s="19">
        <v>0</v>
      </c>
      <c r="T2000" s="20"/>
      <c r="U2000" s="19">
        <v>0</v>
      </c>
      <c r="V2000" s="20"/>
      <c r="W2000" s="19">
        <v>0</v>
      </c>
      <c r="X2000" s="20"/>
      <c r="Y2000" s="19">
        <v>0</v>
      </c>
      <c r="Z2000" s="20"/>
      <c r="AA2000" s="19">
        <v>0</v>
      </c>
      <c r="AB2000" s="20"/>
      <c r="AC2000" s="19">
        <v>0</v>
      </c>
      <c r="AD2000" s="20"/>
      <c r="AE2000" s="19">
        <v>0</v>
      </c>
      <c r="AF2000" s="20"/>
      <c r="AG2000" s="19">
        <v>0</v>
      </c>
      <c r="AH2000" s="20"/>
      <c r="AI2000" s="19">
        <v>0</v>
      </c>
      <c r="AJ2000" s="20"/>
      <c r="AK2000" s="19">
        <v>0</v>
      </c>
      <c r="AL2000" s="20"/>
      <c r="AM2000" s="19">
        <v>0</v>
      </c>
      <c r="AN2000" s="20"/>
      <c r="AO2000" s="19">
        <v>0</v>
      </c>
      <c r="AP2000" s="20"/>
      <c r="AQ2000" s="19">
        <v>0</v>
      </c>
      <c r="AR2000" s="20"/>
      <c r="AS2000" s="19">
        <v>0</v>
      </c>
      <c r="AT2000" s="20"/>
      <c r="AU2000" s="19">
        <v>0</v>
      </c>
      <c r="AV2000" s="20"/>
      <c r="AW2000" s="19">
        <v>0</v>
      </c>
      <c r="AX2000" s="20"/>
      <c r="AY2000" s="19">
        <v>0</v>
      </c>
      <c r="AZ2000" s="20"/>
      <c r="BA2000" s="19">
        <v>0</v>
      </c>
      <c r="BB2000" s="20"/>
      <c r="BC2000" s="19">
        <v>0</v>
      </c>
      <c r="BD2000" s="20"/>
      <c r="BE2000" s="19">
        <v>0</v>
      </c>
      <c r="BF2000" s="20"/>
    </row>
    <row r="7249" spans="1:58">
      <c r="A7249" s="17" t="s">
        <v>178</v>
      </c>
      <c r="B7249" s="18">
        <f>HYPERLINK("#"&amp;CELL("address",OFFSET(Analítico!$B$1,MATCH(95371,Analítico!$B:$B,0)-1,3)),95371)</f>
        <v>0</v>
      </c>
      <c r="C7249" s="7" t="s">
        <v>179</v>
      </c>
      <c r="D7249" s="18" t="s">
        <v>146</v>
      </c>
      <c r="E7249" s="19">
        <v>0.49</v>
      </c>
      <c r="F7249" s="20">
        <v>0</v>
      </c>
      <c r="G7249" s="19">
        <v>0.42</v>
      </c>
      <c r="H7249" s="20">
        <v>0</v>
      </c>
      <c r="I7249" s="19">
        <v>0.45</v>
      </c>
      <c r="J7249" s="20">
        <v>0</v>
      </c>
      <c r="K7249" s="19">
        <v>0.45</v>
      </c>
      <c r="L7249" s="20">
        <v>0</v>
      </c>
      <c r="M7249" s="19">
        <v>0.51</v>
      </c>
      <c r="N7249" s="20">
        <v>0</v>
      </c>
      <c r="O7249" s="19">
        <v>0.46</v>
      </c>
      <c r="P7249" s="20">
        <v>0</v>
      </c>
      <c r="Q7249" s="19">
        <v>0.49</v>
      </c>
      <c r="R7249" s="20">
        <v>0</v>
      </c>
      <c r="S7249" s="19">
        <v>0.46</v>
      </c>
      <c r="T7249" s="20">
        <v>0</v>
      </c>
      <c r="U7249" s="19">
        <v>0.5</v>
      </c>
      <c r="V7249" s="20">
        <v>0</v>
      </c>
      <c r="W7249" s="19">
        <v>0.45</v>
      </c>
      <c r="X7249" s="20">
        <v>0</v>
      </c>
      <c r="Y7249" s="19">
        <v>0.54</v>
      </c>
      <c r="Z7249" s="20">
        <v>0</v>
      </c>
      <c r="AA7249" s="19">
        <v>0.45</v>
      </c>
      <c r="AB7249" s="20">
        <v>0</v>
      </c>
      <c r="AC7249" s="19">
        <v>0.47</v>
      </c>
      <c r="AD7249" s="20">
        <v>0</v>
      </c>
      <c r="AE7249" s="19">
        <v>0.46</v>
      </c>
      <c r="AF7249" s="20">
        <v>0</v>
      </c>
      <c r="AG7249" s="19">
        <v>0.45</v>
      </c>
      <c r="AH7249" s="20">
        <v>0</v>
      </c>
      <c r="AI7249" s="19">
        <v>0.47</v>
      </c>
      <c r="AJ7249" s="20">
        <v>0</v>
      </c>
      <c r="AK7249" s="19">
        <v>0.46</v>
      </c>
      <c r="AL7249" s="20">
        <v>0</v>
      </c>
      <c r="AM7249" s="19">
        <v>0.61</v>
      </c>
      <c r="AN7249" s="20">
        <v>0</v>
      </c>
      <c r="AO7249" s="19">
        <v>0.64</v>
      </c>
      <c r="AP7249" s="20">
        <v>0</v>
      </c>
      <c r="AQ7249" s="19">
        <v>0.42</v>
      </c>
      <c r="AR7249" s="20">
        <v>0</v>
      </c>
      <c r="AS7249" s="19">
        <v>0.48</v>
      </c>
      <c r="AT7249" s="20">
        <v>0</v>
      </c>
      <c r="AU7249" s="19">
        <v>0.54</v>
      </c>
      <c r="AV7249" s="20">
        <v>0</v>
      </c>
      <c r="AW7249" s="19">
        <v>0.48</v>
      </c>
      <c r="AX7249" s="20">
        <v>0</v>
      </c>
      <c r="AY7249" s="19">
        <v>0.64</v>
      </c>
      <c r="AZ7249" s="20">
        <v>0</v>
      </c>
      <c r="BA7249" s="19">
        <v>0.43</v>
      </c>
      <c r="BB7249" s="20">
        <v>0</v>
      </c>
      <c r="BC7249" s="19">
        <v>0.55</v>
      </c>
      <c r="BD7249" s="20">
        <v>0</v>
      </c>
      <c r="BE7249" s="19">
        <v>0.45</v>
      </c>
      <c r="BF7249" s="20">
        <v>0</v>
      </c>
    </row>
    <row r="7260" spans="1:58">
      <c r="A7260" s="17" t="s">
        <v>178</v>
      </c>
      <c r="B7260" s="18">
        <f>HYPERLINK("#"&amp;CELL("address",OFFSET(Analítico!$B$1,MATCH(95377,Analítico!$B:$B,0)-1,3)),95377)</f>
        <v>0</v>
      </c>
      <c r="C7260" s="7" t="s">
        <v>180</v>
      </c>
      <c r="D7260" s="18" t="s">
        <v>146</v>
      </c>
      <c r="E7260" s="19">
        <v>0.26</v>
      </c>
      <c r="F7260" s="20">
        <v>0</v>
      </c>
      <c r="G7260" s="19">
        <v>0.25</v>
      </c>
      <c r="H7260" s="20">
        <v>0</v>
      </c>
      <c r="I7260" s="19">
        <v>0.31</v>
      </c>
      <c r="J7260" s="20">
        <v>0</v>
      </c>
      <c r="K7260" s="19">
        <v>0.24</v>
      </c>
      <c r="L7260" s="20">
        <v>0</v>
      </c>
      <c r="M7260" s="19">
        <v>0.28</v>
      </c>
      <c r="N7260" s="20">
        <v>0</v>
      </c>
      <c r="O7260" s="19">
        <v>0.25</v>
      </c>
      <c r="P7260" s="20">
        <v>0</v>
      </c>
      <c r="Q7260" s="19">
        <v>0.26</v>
      </c>
      <c r="R7260" s="20">
        <v>0</v>
      </c>
      <c r="S7260" s="19">
        <v>0.29</v>
      </c>
      <c r="T7260" s="20">
        <v>0</v>
      </c>
      <c r="U7260" s="19">
        <v>0.27</v>
      </c>
      <c r="V7260" s="20">
        <v>0</v>
      </c>
      <c r="W7260" s="19">
        <v>0.24</v>
      </c>
      <c r="X7260" s="20">
        <v>0</v>
      </c>
      <c r="Y7260" s="19">
        <v>0.29</v>
      </c>
      <c r="Z7260" s="20">
        <v>0</v>
      </c>
      <c r="AA7260" s="19">
        <v>0.25</v>
      </c>
      <c r="AB7260" s="20">
        <v>0</v>
      </c>
      <c r="AC7260" s="19">
        <v>0.25</v>
      </c>
      <c r="AD7260" s="20">
        <v>0</v>
      </c>
      <c r="AE7260" s="19">
        <v>0.25</v>
      </c>
      <c r="AF7260" s="20">
        <v>0</v>
      </c>
      <c r="AG7260" s="19">
        <v>0.24</v>
      </c>
      <c r="AH7260" s="20">
        <v>0</v>
      </c>
      <c r="AI7260" s="19">
        <v>0.25</v>
      </c>
      <c r="AJ7260" s="20">
        <v>0</v>
      </c>
      <c r="AK7260" s="19">
        <v>0.25</v>
      </c>
      <c r="AL7260" s="20">
        <v>0</v>
      </c>
      <c r="AM7260" s="19">
        <v>0.33</v>
      </c>
      <c r="AN7260" s="20">
        <v>0</v>
      </c>
      <c r="AO7260" s="19">
        <v>0.34</v>
      </c>
      <c r="AP7260" s="20">
        <v>0</v>
      </c>
      <c r="AQ7260" s="19">
        <v>0.22</v>
      </c>
      <c r="AR7260" s="20">
        <v>0</v>
      </c>
      <c r="AS7260" s="19">
        <v>0.26</v>
      </c>
      <c r="AT7260" s="20">
        <v>0</v>
      </c>
      <c r="AU7260" s="19">
        <v>0.29</v>
      </c>
      <c r="AV7260" s="20">
        <v>0</v>
      </c>
      <c r="AW7260" s="19">
        <v>0.26</v>
      </c>
      <c r="AX7260" s="20">
        <v>0</v>
      </c>
      <c r="AY7260" s="19">
        <v>0.35</v>
      </c>
      <c r="AZ7260" s="20">
        <v>0</v>
      </c>
      <c r="BA7260" s="19">
        <v>0.23</v>
      </c>
      <c r="BB7260" s="20">
        <v>0</v>
      </c>
      <c r="BC7260" s="19">
        <v>0.3</v>
      </c>
      <c r="BD7260" s="20">
        <v>0</v>
      </c>
      <c r="BE7260" s="19">
        <v>0.24</v>
      </c>
      <c r="BF7260" s="20">
        <v>0</v>
      </c>
    </row>
    <row r="7262" spans="1:58">
      <c r="A7262" s="17" t="s">
        <v>178</v>
      </c>
      <c r="B7262" s="18">
        <f>HYPERLINK("#"&amp;CELL("address",OFFSET(Analítico!$B$1,MATCH(95378,Analítico!$B:$B,0)-1,3)),95378)</f>
        <v>0</v>
      </c>
      <c r="C7262" s="7" t="s">
        <v>181</v>
      </c>
      <c r="D7262" s="18" t="s">
        <v>146</v>
      </c>
      <c r="E7262" s="19">
        <v>0.34</v>
      </c>
      <c r="F7262" s="20">
        <v>0</v>
      </c>
      <c r="G7262" s="19">
        <v>0.33</v>
      </c>
      <c r="H7262" s="20">
        <v>0</v>
      </c>
      <c r="I7262" s="19">
        <v>0.33</v>
      </c>
      <c r="J7262" s="20">
        <v>0</v>
      </c>
      <c r="K7262" s="19">
        <v>0.33</v>
      </c>
      <c r="L7262" s="20">
        <v>0</v>
      </c>
      <c r="M7262" s="19">
        <v>0.34</v>
      </c>
      <c r="N7262" s="20">
        <v>0</v>
      </c>
      <c r="O7262" s="19">
        <v>0.33</v>
      </c>
      <c r="P7262" s="20">
        <v>0</v>
      </c>
      <c r="Q7262" s="19">
        <v>0.33</v>
      </c>
      <c r="R7262" s="20">
        <v>0</v>
      </c>
      <c r="S7262" s="19">
        <v>0.35</v>
      </c>
      <c r="T7262" s="20">
        <v>0</v>
      </c>
      <c r="U7262" s="19">
        <v>0.32</v>
      </c>
      <c r="V7262" s="20">
        <v>0</v>
      </c>
      <c r="W7262" s="19">
        <v>0.33</v>
      </c>
      <c r="X7262" s="20">
        <v>0</v>
      </c>
      <c r="Y7262" s="19">
        <v>0.36</v>
      </c>
      <c r="Z7262" s="20">
        <v>0</v>
      </c>
      <c r="AA7262" s="19">
        <v>0.33</v>
      </c>
      <c r="AB7262" s="20">
        <v>0</v>
      </c>
      <c r="AC7262" s="19">
        <v>0.35</v>
      </c>
      <c r="AD7262" s="20">
        <v>0</v>
      </c>
      <c r="AE7262" s="19">
        <v>0.34</v>
      </c>
      <c r="AF7262" s="20">
        <v>0</v>
      </c>
      <c r="AG7262" s="19">
        <v>0.34</v>
      </c>
      <c r="AH7262" s="20">
        <v>0</v>
      </c>
      <c r="AI7262" s="19">
        <v>0.35</v>
      </c>
      <c r="AJ7262" s="20">
        <v>0</v>
      </c>
      <c r="AK7262" s="19">
        <v>0.33</v>
      </c>
      <c r="AL7262" s="20">
        <v>0</v>
      </c>
      <c r="AM7262" s="19">
        <v>0.43</v>
      </c>
      <c r="AN7262" s="20">
        <v>0</v>
      </c>
      <c r="AO7262" s="19">
        <v>0.45</v>
      </c>
      <c r="AP7262" s="20">
        <v>0</v>
      </c>
      <c r="AQ7262" s="19">
        <v>0.33</v>
      </c>
      <c r="AR7262" s="20">
        <v>0</v>
      </c>
      <c r="AS7262" s="19">
        <v>0.39</v>
      </c>
      <c r="AT7262" s="20">
        <v>0</v>
      </c>
      <c r="AU7262" s="19">
        <v>0.33</v>
      </c>
      <c r="AV7262" s="20">
        <v>0</v>
      </c>
      <c r="AW7262" s="19">
        <v>0.37</v>
      </c>
      <c r="AX7262" s="20">
        <v>0</v>
      </c>
      <c r="AY7262" s="19">
        <v>0.44</v>
      </c>
      <c r="AZ7262" s="20">
        <v>0</v>
      </c>
      <c r="BA7262" s="19">
        <v>0.33</v>
      </c>
      <c r="BB7262" s="20">
        <v>0</v>
      </c>
      <c r="BC7262" s="19">
        <v>0.45</v>
      </c>
      <c r="BD7262" s="20">
        <v>0</v>
      </c>
      <c r="BE7262" s="19">
        <v>0.33</v>
      </c>
      <c r="BF7262" s="20">
        <v>0</v>
      </c>
    </row>
    <row r="7377" spans="1:58">
      <c r="A7377" s="17" t="s">
        <v>178</v>
      </c>
      <c r="B7377" s="18">
        <f>HYPERLINK("#"&amp;CELL("address",OFFSET(Analítico!$B$1,MATCH(88309,Analítico!$B:$B,0)-1,3)),88309)</f>
        <v>0</v>
      </c>
      <c r="C7377" s="7" t="s">
        <v>182</v>
      </c>
      <c r="D7377" s="18" t="s">
        <v>146</v>
      </c>
      <c r="E7377" s="19">
        <v>31.13</v>
      </c>
      <c r="F7377" s="20">
        <v>0</v>
      </c>
      <c r="G7377" s="19">
        <v>27.41</v>
      </c>
      <c r="H7377" s="20">
        <v>0</v>
      </c>
      <c r="I7377" s="19">
        <v>32.8</v>
      </c>
      <c r="J7377" s="20">
        <v>0</v>
      </c>
      <c r="K7377" s="19">
        <v>26.51</v>
      </c>
      <c r="L7377" s="20">
        <v>0</v>
      </c>
      <c r="M7377" s="19">
        <v>34.28</v>
      </c>
      <c r="N7377" s="20">
        <v>0</v>
      </c>
      <c r="O7377" s="19">
        <v>31.25</v>
      </c>
      <c r="P7377" s="20">
        <v>0</v>
      </c>
      <c r="Q7377" s="19">
        <v>32.84</v>
      </c>
      <c r="R7377" s="20">
        <v>0</v>
      </c>
      <c r="S7377" s="19">
        <v>34.53</v>
      </c>
      <c r="T7377" s="20">
        <v>0</v>
      </c>
      <c r="U7377" s="19">
        <v>32.1</v>
      </c>
      <c r="V7377" s="20">
        <v>0</v>
      </c>
      <c r="W7377" s="19">
        <v>27.96</v>
      </c>
      <c r="X7377" s="20">
        <v>0</v>
      </c>
      <c r="Y7377" s="19">
        <v>33.62</v>
      </c>
      <c r="Z7377" s="20">
        <v>0</v>
      </c>
      <c r="AA7377" s="19">
        <v>28.5</v>
      </c>
      <c r="AB7377" s="20">
        <v>0</v>
      </c>
      <c r="AC7377" s="19">
        <v>30.54</v>
      </c>
      <c r="AD7377" s="20">
        <v>0</v>
      </c>
      <c r="AE7377" s="19">
        <v>32.75</v>
      </c>
      <c r="AF7377" s="20">
        <v>0</v>
      </c>
      <c r="AG7377" s="19">
        <v>28.53</v>
      </c>
      <c r="AH7377" s="20">
        <v>0</v>
      </c>
      <c r="AI7377" s="19">
        <v>29.98</v>
      </c>
      <c r="AJ7377" s="20">
        <v>0</v>
      </c>
      <c r="AK7377" s="19">
        <v>29.47</v>
      </c>
      <c r="AL7377" s="20">
        <v>0</v>
      </c>
      <c r="AM7377" s="19">
        <v>40.19</v>
      </c>
      <c r="AN7377" s="20">
        <v>0</v>
      </c>
      <c r="AO7377" s="19">
        <v>41.17</v>
      </c>
      <c r="AP7377" s="20">
        <v>0</v>
      </c>
      <c r="AQ7377" s="19">
        <v>29.48</v>
      </c>
      <c r="AR7377" s="20">
        <v>0</v>
      </c>
      <c r="AS7377" s="19">
        <v>31.14</v>
      </c>
      <c r="AT7377" s="20">
        <v>0</v>
      </c>
      <c r="AU7377" s="19">
        <v>34.29</v>
      </c>
      <c r="AV7377" s="20">
        <v>0</v>
      </c>
      <c r="AW7377" s="19">
        <v>29.88</v>
      </c>
      <c r="AX7377" s="20">
        <v>0</v>
      </c>
      <c r="AY7377" s="19">
        <v>36.22</v>
      </c>
      <c r="AZ7377" s="20">
        <v>0</v>
      </c>
      <c r="BA7377" s="19">
        <v>27.86</v>
      </c>
      <c r="BB7377" s="20">
        <v>0</v>
      </c>
      <c r="BC7377" s="19">
        <v>35.87</v>
      </c>
      <c r="BD7377" s="20">
        <v>0</v>
      </c>
      <c r="BE7377" s="19">
        <v>28.97</v>
      </c>
      <c r="BF7377" s="20">
        <v>0</v>
      </c>
    </row>
    <row r="7388" spans="1:58">
      <c r="A7388" s="17" t="s">
        <v>178</v>
      </c>
      <c r="B7388" s="18">
        <f>HYPERLINK("#"&amp;CELL("address",OFFSET(Analítico!$B$1,MATCH(88315,Analítico!$B:$B,0)-1,3)),88315)</f>
        <v>0</v>
      </c>
      <c r="C7388" s="7" t="s">
        <v>183</v>
      </c>
      <c r="D7388" s="18" t="s">
        <v>146</v>
      </c>
      <c r="E7388" s="19">
        <v>30.9</v>
      </c>
      <c r="F7388" s="20">
        <v>0</v>
      </c>
      <c r="G7388" s="19">
        <v>29.25</v>
      </c>
      <c r="H7388" s="20">
        <v>0</v>
      </c>
      <c r="I7388" s="19">
        <v>37.93</v>
      </c>
      <c r="J7388" s="20">
        <v>0</v>
      </c>
      <c r="K7388" s="19">
        <v>26.3</v>
      </c>
      <c r="L7388" s="20">
        <v>0</v>
      </c>
      <c r="M7388" s="19">
        <v>34.05</v>
      </c>
      <c r="N7388" s="20">
        <v>0</v>
      </c>
      <c r="O7388" s="19">
        <v>31.04</v>
      </c>
      <c r="P7388" s="20">
        <v>0</v>
      </c>
      <c r="Q7388" s="19">
        <v>32.61</v>
      </c>
      <c r="R7388" s="20">
        <v>0</v>
      </c>
      <c r="S7388" s="19">
        <v>38.26</v>
      </c>
      <c r="T7388" s="20">
        <v>0</v>
      </c>
      <c r="U7388" s="19">
        <v>31.87</v>
      </c>
      <c r="V7388" s="20">
        <v>0</v>
      </c>
      <c r="W7388" s="19">
        <v>27.75</v>
      </c>
      <c r="X7388" s="20">
        <v>0</v>
      </c>
      <c r="Y7388" s="19">
        <v>33.37</v>
      </c>
      <c r="Z7388" s="20">
        <v>0</v>
      </c>
      <c r="AA7388" s="19">
        <v>28.8</v>
      </c>
      <c r="AB7388" s="20">
        <v>0</v>
      </c>
      <c r="AC7388" s="19">
        <v>30.32</v>
      </c>
      <c r="AD7388" s="20">
        <v>0</v>
      </c>
      <c r="AE7388" s="19">
        <v>32.54</v>
      </c>
      <c r="AF7388" s="20">
        <v>0</v>
      </c>
      <c r="AG7388" s="19">
        <v>28.32</v>
      </c>
      <c r="AH7388" s="20">
        <v>0</v>
      </c>
      <c r="AI7388" s="19">
        <v>29.76</v>
      </c>
      <c r="AJ7388" s="20">
        <v>0</v>
      </c>
      <c r="AK7388" s="19">
        <v>29.26</v>
      </c>
      <c r="AL7388" s="20">
        <v>0</v>
      </c>
      <c r="AM7388" s="19">
        <v>39.91</v>
      </c>
      <c r="AN7388" s="20">
        <v>0</v>
      </c>
      <c r="AO7388" s="19">
        <v>40.87</v>
      </c>
      <c r="AP7388" s="20">
        <v>0</v>
      </c>
      <c r="AQ7388" s="19">
        <v>29.28</v>
      </c>
      <c r="AR7388" s="20">
        <v>0</v>
      </c>
      <c r="AS7388" s="19">
        <v>30.92</v>
      </c>
      <c r="AT7388" s="20">
        <v>0</v>
      </c>
      <c r="AU7388" s="19">
        <v>34.04</v>
      </c>
      <c r="AV7388" s="20">
        <v>0</v>
      </c>
      <c r="AW7388" s="19">
        <v>29.66</v>
      </c>
      <c r="AX7388" s="20">
        <v>0</v>
      </c>
      <c r="AY7388" s="19">
        <v>35.93</v>
      </c>
      <c r="AZ7388" s="20">
        <v>0</v>
      </c>
      <c r="BA7388" s="19">
        <v>27.66</v>
      </c>
      <c r="BB7388" s="20">
        <v>0</v>
      </c>
      <c r="BC7388" s="19">
        <v>36.31</v>
      </c>
      <c r="BD7388" s="20">
        <v>0</v>
      </c>
      <c r="BE7388" s="19">
        <v>28.76</v>
      </c>
      <c r="BF7388" s="20">
        <v>0</v>
      </c>
    </row>
    <row r="7390" spans="1:58">
      <c r="A7390" s="17" t="s">
        <v>178</v>
      </c>
      <c r="B7390" s="18">
        <f>HYPERLINK("#"&amp;CELL("address",OFFSET(Analítico!$B$1,MATCH(88316,Analítico!$B:$B,0)-1,3)),88316)</f>
        <v>0</v>
      </c>
      <c r="C7390" s="7" t="s">
        <v>184</v>
      </c>
      <c r="D7390" s="18" t="s">
        <v>146</v>
      </c>
      <c r="E7390" s="19">
        <v>23.85</v>
      </c>
      <c r="F7390" s="20">
        <v>0</v>
      </c>
      <c r="G7390" s="19">
        <v>22.92</v>
      </c>
      <c r="H7390" s="20">
        <v>0</v>
      </c>
      <c r="I7390" s="19">
        <v>27.09</v>
      </c>
      <c r="J7390" s="20">
        <v>0</v>
      </c>
      <c r="K7390" s="19">
        <v>20.96</v>
      </c>
      <c r="L7390" s="20">
        <v>0</v>
      </c>
      <c r="M7390" s="19">
        <v>25.81</v>
      </c>
      <c r="N7390" s="20">
        <v>0</v>
      </c>
      <c r="O7390" s="19">
        <v>25.19</v>
      </c>
      <c r="P7390" s="20">
        <v>0</v>
      </c>
      <c r="Q7390" s="19">
        <v>25.11</v>
      </c>
      <c r="R7390" s="20">
        <v>0</v>
      </c>
      <c r="S7390" s="19">
        <v>28.97</v>
      </c>
      <c r="T7390" s="20">
        <v>0</v>
      </c>
      <c r="U7390" s="19">
        <v>23.2</v>
      </c>
      <c r="V7390" s="20">
        <v>0</v>
      </c>
      <c r="W7390" s="19">
        <v>22.24</v>
      </c>
      <c r="X7390" s="20">
        <v>0</v>
      </c>
      <c r="Y7390" s="19">
        <v>24.88</v>
      </c>
      <c r="Z7390" s="20">
        <v>0</v>
      </c>
      <c r="AA7390" s="19">
        <v>22.76</v>
      </c>
      <c r="AB7390" s="20">
        <v>0</v>
      </c>
      <c r="AC7390" s="19">
        <v>24.68</v>
      </c>
      <c r="AD7390" s="20">
        <v>0</v>
      </c>
      <c r="AE7390" s="19">
        <v>26.88</v>
      </c>
      <c r="AF7390" s="20">
        <v>0</v>
      </c>
      <c r="AG7390" s="19">
        <v>23.29</v>
      </c>
      <c r="AH7390" s="20">
        <v>0</v>
      </c>
      <c r="AI7390" s="19">
        <v>24.25</v>
      </c>
      <c r="AJ7390" s="20">
        <v>0</v>
      </c>
      <c r="AK7390" s="19">
        <v>23.66</v>
      </c>
      <c r="AL7390" s="20">
        <v>0</v>
      </c>
      <c r="AM7390" s="19">
        <v>31.41</v>
      </c>
      <c r="AN7390" s="20">
        <v>0</v>
      </c>
      <c r="AO7390" s="19">
        <v>32.12</v>
      </c>
      <c r="AP7390" s="20">
        <v>0</v>
      </c>
      <c r="AQ7390" s="19">
        <v>25.56</v>
      </c>
      <c r="AR7390" s="20">
        <v>0</v>
      </c>
      <c r="AS7390" s="19">
        <v>26.74</v>
      </c>
      <c r="AT7390" s="20">
        <v>0</v>
      </c>
      <c r="AU7390" s="19">
        <v>24.6</v>
      </c>
      <c r="AV7390" s="20">
        <v>0</v>
      </c>
      <c r="AW7390" s="19">
        <v>24.83</v>
      </c>
      <c r="AX7390" s="20">
        <v>0</v>
      </c>
      <c r="AY7390" s="19">
        <v>26.47</v>
      </c>
      <c r="AZ7390" s="20">
        <v>0</v>
      </c>
      <c r="BA7390" s="19">
        <v>22.83</v>
      </c>
      <c r="BB7390" s="20">
        <v>0</v>
      </c>
      <c r="BC7390" s="19">
        <v>31.15</v>
      </c>
      <c r="BD7390" s="20">
        <v>0</v>
      </c>
      <c r="BE7390" s="19">
        <v>23.34</v>
      </c>
      <c r="BF7390" s="20">
        <v>0</v>
      </c>
    </row>
  </sheetData>
  <autoFilter ref="A10:BF10265"/>
  <hyperlinks>
    <hyperlink ref="A11" r:id="rId1"/>
    <hyperlink ref="A112" r:id="rId102"/>
    <hyperlink ref="A1105" r:id="rId1095"/>
    <hyperlink ref="A1493" r:id="rId1483"/>
    <hyperlink ref="A1981" r:id="rId1971"/>
    <hyperlink ref="A1999" r:id="rId1989"/>
    <hyperlink ref="A2000" r:id="rId1990"/>
    <hyperlink ref="A7249" r:id="rId7239"/>
    <hyperlink ref="A7260" r:id="rId7250"/>
    <hyperlink ref="A7262" r:id="rId7252"/>
    <hyperlink ref="A7377" r:id="rId7367"/>
    <hyperlink ref="A7388" r:id="rId7378"/>
    <hyperlink ref="A7390" r:id="rId738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F10265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5" width="11.7109375" customWidth="1"/>
    <col min="6" max="6" width="5.7109375" customWidth="1"/>
    <col min="7" max="7" width="11.7109375" customWidth="1"/>
    <col min="8" max="8" width="5.7109375" customWidth="1"/>
    <col min="9" max="9" width="11.7109375" customWidth="1"/>
    <col min="10" max="10" width="5.7109375" customWidth="1"/>
    <col min="11" max="11" width="11.7109375" customWidth="1"/>
    <col min="12" max="12" width="5.7109375" customWidth="1"/>
    <col min="13" max="13" width="11.7109375" customWidth="1"/>
    <col min="14" max="14" width="5.7109375" customWidth="1"/>
    <col min="15" max="15" width="11.7109375" customWidth="1"/>
    <col min="16" max="16" width="5.7109375" customWidth="1"/>
    <col min="17" max="17" width="11.7109375" customWidth="1"/>
    <col min="18" max="18" width="5.7109375" customWidth="1"/>
    <col min="19" max="19" width="11.7109375" customWidth="1"/>
    <col min="20" max="20" width="5.7109375" customWidth="1"/>
    <col min="21" max="21" width="11.7109375" customWidth="1"/>
    <col min="22" max="22" width="5.7109375" customWidth="1"/>
    <col min="23" max="23" width="11.7109375" customWidth="1"/>
    <col min="24" max="24" width="5.7109375" customWidth="1"/>
    <col min="25" max="25" width="11.7109375" customWidth="1"/>
    <col min="26" max="26" width="5.7109375" customWidth="1"/>
    <col min="27" max="27" width="11.7109375" customWidth="1"/>
    <col min="28" max="28" width="5.7109375" customWidth="1"/>
    <col min="29" max="29" width="11.7109375" customWidth="1"/>
    <col min="30" max="30" width="5.7109375" customWidth="1"/>
    <col min="31" max="31" width="11.7109375" customWidth="1"/>
    <col min="32" max="32" width="5.7109375" customWidth="1"/>
    <col min="33" max="33" width="11.7109375" customWidth="1"/>
    <col min="34" max="34" width="5.7109375" customWidth="1"/>
    <col min="35" max="35" width="11.7109375" customWidth="1"/>
    <col min="36" max="36" width="5.7109375" customWidth="1"/>
    <col min="37" max="37" width="11.7109375" customWidth="1"/>
    <col min="38" max="38" width="5.7109375" customWidth="1"/>
    <col min="39" max="39" width="11.7109375" customWidth="1"/>
    <col min="40" max="40" width="5.7109375" customWidth="1"/>
    <col min="41" max="41" width="11.7109375" customWidth="1"/>
    <col min="42" max="42" width="5.7109375" customWidth="1"/>
    <col min="43" max="43" width="11.7109375" customWidth="1"/>
    <col min="44" max="44" width="5.7109375" customWidth="1"/>
    <col min="45" max="45" width="11.7109375" customWidth="1"/>
    <col min="46" max="46" width="5.7109375" customWidth="1"/>
    <col min="47" max="47" width="11.7109375" customWidth="1"/>
    <col min="48" max="48" width="5.7109375" customWidth="1"/>
    <col min="49" max="49" width="11.7109375" customWidth="1"/>
    <col min="50" max="50" width="5.7109375" customWidth="1"/>
    <col min="51" max="51" width="11.7109375" customWidth="1"/>
    <col min="52" max="52" width="5.7109375" customWidth="1"/>
    <col min="53" max="53" width="11.7109375" customWidth="1"/>
    <col min="54" max="54" width="5.7109375" customWidth="1"/>
    <col min="55" max="55" width="11.7109375" customWidth="1"/>
    <col min="56" max="56" width="5.7109375" customWidth="1"/>
    <col min="57" max="57" width="11.7109375" customWidth="1"/>
    <col min="58" max="58" width="5.7109375" customWidth="1"/>
  </cols>
  <sheetData>
    <row r="1" spans="1:58">
      <c r="A1" s="6" t="s">
        <v>0</v>
      </c>
    </row>
    <row r="2" spans="1:58">
      <c r="A2" s="7" t="s">
        <v>82</v>
      </c>
    </row>
    <row r="3" spans="1:58">
      <c r="A3" s="7" t="s">
        <v>22</v>
      </c>
      <c r="B3" s="12" t="s">
        <v>23</v>
      </c>
      <c r="D3" s="13" t="s">
        <v>31</v>
      </c>
    </row>
    <row r="4" spans="1:58">
      <c r="A4" s="7" t="s">
        <v>24</v>
      </c>
      <c r="B4" s="12" t="s">
        <v>25</v>
      </c>
      <c r="D4" s="9" t="s">
        <v>70</v>
      </c>
      <c r="E4" s="11" t="s">
        <v>42</v>
      </c>
      <c r="F4" s="11"/>
      <c r="G4" s="11" t="s">
        <v>43</v>
      </c>
      <c r="H4" s="11"/>
      <c r="I4" s="11" t="s">
        <v>44</v>
      </c>
      <c r="J4" s="11"/>
      <c r="K4" s="11" t="s">
        <v>45</v>
      </c>
      <c r="L4" s="11"/>
      <c r="M4" s="11" t="s">
        <v>46</v>
      </c>
      <c r="N4" s="11"/>
      <c r="O4" s="11" t="s">
        <v>47</v>
      </c>
      <c r="P4" s="11"/>
      <c r="Q4" s="11" t="s">
        <v>48</v>
      </c>
      <c r="R4" s="11"/>
      <c r="S4" s="11" t="s">
        <v>49</v>
      </c>
      <c r="T4" s="11"/>
      <c r="U4" s="11" t="s">
        <v>50</v>
      </c>
      <c r="V4" s="11"/>
      <c r="W4" s="11" t="s">
        <v>51</v>
      </c>
      <c r="X4" s="11"/>
      <c r="Y4" s="11" t="s">
        <v>52</v>
      </c>
      <c r="Z4" s="11"/>
      <c r="AA4" s="11" t="s">
        <v>53</v>
      </c>
      <c r="AB4" s="11"/>
      <c r="AC4" s="11" t="s">
        <v>54</v>
      </c>
      <c r="AD4" s="11"/>
      <c r="AE4" s="11" t="s">
        <v>55</v>
      </c>
      <c r="AF4" s="11"/>
      <c r="AG4" s="11" t="s">
        <v>56</v>
      </c>
      <c r="AH4" s="11"/>
      <c r="AI4" s="11" t="s">
        <v>57</v>
      </c>
      <c r="AJ4" s="11"/>
      <c r="AK4" s="11" t="s">
        <v>58</v>
      </c>
      <c r="AL4" s="11"/>
      <c r="AM4" s="11" t="s">
        <v>59</v>
      </c>
      <c r="AN4" s="11"/>
      <c r="AO4" s="11" t="s">
        <v>60</v>
      </c>
      <c r="AP4" s="11"/>
      <c r="AQ4" s="11" t="s">
        <v>61</v>
      </c>
      <c r="AR4" s="11"/>
      <c r="AS4" s="11" t="s">
        <v>62</v>
      </c>
      <c r="AT4" s="11"/>
      <c r="AU4" s="11" t="s">
        <v>63</v>
      </c>
      <c r="AV4" s="11"/>
      <c r="AW4" s="11" t="s">
        <v>64</v>
      </c>
      <c r="AX4" s="11"/>
      <c r="AY4" s="11" t="s">
        <v>65</v>
      </c>
      <c r="AZ4" s="11"/>
      <c r="BA4" s="11" t="s">
        <v>66</v>
      </c>
      <c r="BB4" s="11"/>
      <c r="BC4" s="11" t="s">
        <v>67</v>
      </c>
      <c r="BD4" s="11"/>
      <c r="BE4" s="11" t="s">
        <v>68</v>
      </c>
      <c r="BF4" s="11"/>
    </row>
    <row r="5" spans="1:58">
      <c r="D5" s="11" t="s">
        <v>33</v>
      </c>
      <c r="E5" s="14" t="s">
        <v>111</v>
      </c>
      <c r="F5" s="14"/>
      <c r="G5" s="14" t="s">
        <v>112</v>
      </c>
      <c r="H5" s="14"/>
      <c r="I5" s="14" t="s">
        <v>113</v>
      </c>
      <c r="J5" s="14"/>
      <c r="K5" s="14" t="s">
        <v>114</v>
      </c>
      <c r="L5" s="14"/>
      <c r="M5" s="14" t="s">
        <v>115</v>
      </c>
      <c r="N5" s="14"/>
      <c r="O5" s="14" t="s">
        <v>116</v>
      </c>
      <c r="P5" s="14"/>
      <c r="Q5" s="14" t="s">
        <v>117</v>
      </c>
      <c r="R5" s="14"/>
      <c r="S5" s="14" t="s">
        <v>118</v>
      </c>
      <c r="T5" s="14"/>
      <c r="U5" s="14" t="s">
        <v>119</v>
      </c>
      <c r="V5" s="14"/>
      <c r="W5" s="14" t="s">
        <v>120</v>
      </c>
      <c r="X5" s="14"/>
      <c r="Y5" s="14" t="s">
        <v>121</v>
      </c>
      <c r="Z5" s="14"/>
      <c r="AA5" s="14" t="s">
        <v>122</v>
      </c>
      <c r="AB5" s="14"/>
      <c r="AC5" s="14" t="s">
        <v>123</v>
      </c>
      <c r="AD5" s="14"/>
      <c r="AE5" s="14" t="s">
        <v>124</v>
      </c>
      <c r="AF5" s="14"/>
      <c r="AG5" s="14" t="s">
        <v>125</v>
      </c>
      <c r="AH5" s="14"/>
      <c r="AI5" s="14" t="s">
        <v>126</v>
      </c>
      <c r="AJ5" s="14"/>
      <c r="AK5" s="14" t="s">
        <v>127</v>
      </c>
      <c r="AL5" s="14"/>
      <c r="AM5" s="14" t="s">
        <v>128</v>
      </c>
      <c r="AN5" s="14"/>
      <c r="AO5" s="14" t="s">
        <v>129</v>
      </c>
      <c r="AP5" s="14"/>
      <c r="AQ5" s="14" t="s">
        <v>130</v>
      </c>
      <c r="AR5" s="14"/>
      <c r="AS5" s="14" t="s">
        <v>131</v>
      </c>
      <c r="AT5" s="14"/>
      <c r="AU5" s="14" t="s">
        <v>132</v>
      </c>
      <c r="AV5" s="14"/>
      <c r="AW5" s="14" t="s">
        <v>133</v>
      </c>
      <c r="AX5" s="14"/>
      <c r="AY5" s="14" t="s">
        <v>134</v>
      </c>
      <c r="AZ5" s="14"/>
      <c r="BA5" s="14" t="s">
        <v>135</v>
      </c>
      <c r="BB5" s="14"/>
      <c r="BC5" s="14" t="s">
        <v>136</v>
      </c>
      <c r="BD5" s="14"/>
      <c r="BE5" s="14" t="s">
        <v>137</v>
      </c>
      <c r="BF5" s="14"/>
    </row>
    <row r="6" spans="1:58">
      <c r="A6" s="6" t="s">
        <v>73</v>
      </c>
      <c r="B6" s="7" t="s">
        <v>74</v>
      </c>
      <c r="D6" s="11" t="s">
        <v>34</v>
      </c>
      <c r="E6" s="15">
        <v>0.9688</v>
      </c>
      <c r="F6" s="15"/>
      <c r="G6" s="15">
        <v>1.0013</v>
      </c>
      <c r="H6" s="15"/>
      <c r="I6" s="15">
        <v>0.9835</v>
      </c>
      <c r="J6" s="15"/>
      <c r="K6" s="15">
        <v>0.9923</v>
      </c>
      <c r="L6" s="15"/>
      <c r="M6" s="15">
        <v>1.017</v>
      </c>
      <c r="N6" s="15"/>
      <c r="O6" s="15">
        <v>0.9971</v>
      </c>
      <c r="P6" s="15"/>
      <c r="Q6" s="15">
        <v>0.9463</v>
      </c>
      <c r="R6" s="15"/>
      <c r="S6" s="15">
        <v>1.0222</v>
      </c>
      <c r="T6" s="15"/>
      <c r="U6" s="15">
        <v>0.9322</v>
      </c>
      <c r="V6" s="15"/>
      <c r="W6" s="15">
        <v>0.9831</v>
      </c>
      <c r="X6" s="15"/>
      <c r="Y6" s="15">
        <v>1.0033</v>
      </c>
      <c r="Z6" s="15"/>
      <c r="AA6" s="15">
        <v>0.9956</v>
      </c>
      <c r="AB6" s="15"/>
      <c r="AC6" s="15">
        <v>0.9089</v>
      </c>
      <c r="AD6" s="15"/>
      <c r="AE6" s="15">
        <v>1.0326</v>
      </c>
      <c r="AF6" s="15"/>
      <c r="AG6" s="15">
        <v>1.0206</v>
      </c>
      <c r="AH6" s="15"/>
      <c r="AI6" s="15">
        <v>0.9883</v>
      </c>
      <c r="AJ6" s="15"/>
      <c r="AK6" s="15">
        <v>0.9796</v>
      </c>
      <c r="AL6" s="15"/>
      <c r="AM6" s="15">
        <v>1.0025</v>
      </c>
      <c r="AN6" s="15"/>
      <c r="AO6" s="15">
        <v>0.9688</v>
      </c>
      <c r="AP6" s="15"/>
      <c r="AQ6" s="15">
        <v>1.0077</v>
      </c>
      <c r="AR6" s="15"/>
      <c r="AS6" s="15">
        <v>0.9961</v>
      </c>
      <c r="AT6" s="15"/>
      <c r="AU6" s="15">
        <v>0.9885</v>
      </c>
      <c r="AV6" s="15"/>
      <c r="AW6" s="15">
        <v>0.9612000000000001</v>
      </c>
      <c r="AX6" s="15"/>
      <c r="AY6" s="15">
        <v>0.9838</v>
      </c>
      <c r="AZ6" s="15"/>
      <c r="BA6" s="15">
        <v>0.9588</v>
      </c>
      <c r="BB6" s="15"/>
      <c r="BC6" s="15">
        <v>0.9909</v>
      </c>
      <c r="BD6" s="15"/>
      <c r="BE6" s="15">
        <v>0.9923</v>
      </c>
      <c r="BF6" s="15"/>
    </row>
    <row r="7" spans="1:58">
      <c r="B7" s="7" t="s">
        <v>75</v>
      </c>
      <c r="D7" s="11" t="s">
        <v>35</v>
      </c>
      <c r="E7" s="15">
        <v>0.5653</v>
      </c>
      <c r="F7" s="15"/>
      <c r="G7" s="15">
        <v>0.5859</v>
      </c>
      <c r="H7" s="15"/>
      <c r="I7" s="15">
        <v>0.582</v>
      </c>
      <c r="J7" s="15"/>
      <c r="K7" s="15">
        <v>0.5746</v>
      </c>
      <c r="L7" s="15"/>
      <c r="M7" s="15">
        <v>0.6012999999999999</v>
      </c>
      <c r="N7" s="15"/>
      <c r="O7" s="15">
        <v>0.5974</v>
      </c>
      <c r="P7" s="15"/>
      <c r="Q7" s="15">
        <v>0.5745</v>
      </c>
      <c r="R7" s="15"/>
      <c r="S7" s="15">
        <v>0.6106</v>
      </c>
      <c r="T7" s="15"/>
      <c r="U7" s="15">
        <v>0.5747</v>
      </c>
      <c r="V7" s="15"/>
      <c r="W7" s="15">
        <v>0.5866</v>
      </c>
      <c r="X7" s="15"/>
      <c r="Y7" s="15">
        <v>0.6106</v>
      </c>
      <c r="Z7" s="15"/>
      <c r="AA7" s="15">
        <v>0.5874</v>
      </c>
      <c r="AB7" s="15"/>
      <c r="AC7" s="15">
        <v>0.5603</v>
      </c>
      <c r="AD7" s="15"/>
      <c r="AE7" s="15">
        <v>0.5998</v>
      </c>
      <c r="AF7" s="15"/>
      <c r="AG7" s="15">
        <v>0.5991</v>
      </c>
      <c r="AH7" s="15"/>
      <c r="AI7" s="15">
        <v>0.581</v>
      </c>
      <c r="AJ7" s="15"/>
      <c r="AK7" s="15">
        <v>0.5891</v>
      </c>
      <c r="AL7" s="15"/>
      <c r="AM7" s="15">
        <v>0.5965</v>
      </c>
      <c r="AN7" s="15"/>
      <c r="AO7" s="15">
        <v>0.572</v>
      </c>
      <c r="AP7" s="15"/>
      <c r="AQ7" s="15">
        <v>0.5955</v>
      </c>
      <c r="AR7" s="15"/>
      <c r="AS7" s="15">
        <v>0.5792</v>
      </c>
      <c r="AT7" s="15"/>
      <c r="AU7" s="15">
        <v>0.5772</v>
      </c>
      <c r="AV7" s="15"/>
      <c r="AW7" s="15">
        <v>0.5667</v>
      </c>
      <c r="AX7" s="15"/>
      <c r="AY7" s="15">
        <v>0.5822000000000001</v>
      </c>
      <c r="AZ7" s="15"/>
      <c r="BA7" s="15">
        <v>0.5718</v>
      </c>
      <c r="BB7" s="15"/>
      <c r="BC7" s="15">
        <v>0.5851</v>
      </c>
      <c r="BD7" s="15"/>
      <c r="BE7" s="15">
        <v>0.592</v>
      </c>
      <c r="BF7" s="15"/>
    </row>
    <row r="8" spans="1:58">
      <c r="B8" s="7" t="s">
        <v>76</v>
      </c>
    </row>
    <row r="9" spans="1:58">
      <c r="B9" s="7" t="s">
        <v>77</v>
      </c>
      <c r="E9" s="11" t="s">
        <v>42</v>
      </c>
      <c r="F9" s="11"/>
      <c r="G9" s="11" t="s">
        <v>43</v>
      </c>
      <c r="H9" s="11"/>
      <c r="I9" s="11" t="s">
        <v>44</v>
      </c>
      <c r="J9" s="11"/>
      <c r="K9" s="11" t="s">
        <v>45</v>
      </c>
      <c r="L9" s="11"/>
      <c r="M9" s="11" t="s">
        <v>46</v>
      </c>
      <c r="N9" s="11"/>
      <c r="O9" s="11" t="s">
        <v>47</v>
      </c>
      <c r="P9" s="11"/>
      <c r="Q9" s="11" t="s">
        <v>48</v>
      </c>
      <c r="R9" s="11"/>
      <c r="S9" s="11" t="s">
        <v>49</v>
      </c>
      <c r="T9" s="11"/>
      <c r="U9" s="11" t="s">
        <v>50</v>
      </c>
      <c r="V9" s="11"/>
      <c r="W9" s="11" t="s">
        <v>51</v>
      </c>
      <c r="X9" s="11"/>
      <c r="Y9" s="11" t="s">
        <v>52</v>
      </c>
      <c r="Z9" s="11"/>
      <c r="AA9" s="11" t="s">
        <v>53</v>
      </c>
      <c r="AB9" s="11"/>
      <c r="AC9" s="11" t="s">
        <v>54</v>
      </c>
      <c r="AD9" s="11"/>
      <c r="AE9" s="11" t="s">
        <v>55</v>
      </c>
      <c r="AF9" s="11"/>
      <c r="AG9" s="11" t="s">
        <v>56</v>
      </c>
      <c r="AH9" s="11"/>
      <c r="AI9" s="11" t="s">
        <v>57</v>
      </c>
      <c r="AJ9" s="11"/>
      <c r="AK9" s="11" t="s">
        <v>58</v>
      </c>
      <c r="AL9" s="11"/>
      <c r="AM9" s="11" t="s">
        <v>59</v>
      </c>
      <c r="AN9" s="11"/>
      <c r="AO9" s="11" t="s">
        <v>60</v>
      </c>
      <c r="AP9" s="11"/>
      <c r="AQ9" s="11" t="s">
        <v>61</v>
      </c>
      <c r="AR9" s="11"/>
      <c r="AS9" s="11" t="s">
        <v>62</v>
      </c>
      <c r="AT9" s="11"/>
      <c r="AU9" s="11" t="s">
        <v>63</v>
      </c>
      <c r="AV9" s="11"/>
      <c r="AW9" s="11" t="s">
        <v>64</v>
      </c>
      <c r="AX9" s="11"/>
      <c r="AY9" s="11" t="s">
        <v>65</v>
      </c>
      <c r="AZ9" s="11"/>
      <c r="BA9" s="11" t="s">
        <v>66</v>
      </c>
      <c r="BB9" s="11"/>
      <c r="BC9" s="11" t="s">
        <v>67</v>
      </c>
      <c r="BD9" s="11"/>
      <c r="BE9" s="11" t="s">
        <v>68</v>
      </c>
      <c r="BF9" s="11"/>
    </row>
    <row r="10" spans="1:58">
      <c r="A10" s="11" t="s">
        <v>78</v>
      </c>
      <c r="B10" s="11" t="s">
        <v>79</v>
      </c>
      <c r="C10" s="11" t="s">
        <v>20</v>
      </c>
      <c r="D10" s="11" t="s">
        <v>21</v>
      </c>
      <c r="E10" s="11" t="s">
        <v>80</v>
      </c>
      <c r="F10" s="11" t="s">
        <v>81</v>
      </c>
      <c r="G10" s="11" t="s">
        <v>80</v>
      </c>
      <c r="H10" s="11" t="s">
        <v>81</v>
      </c>
      <c r="I10" s="11" t="s">
        <v>80</v>
      </c>
      <c r="J10" s="11" t="s">
        <v>81</v>
      </c>
      <c r="K10" s="11" t="s">
        <v>80</v>
      </c>
      <c r="L10" s="11" t="s">
        <v>81</v>
      </c>
      <c r="M10" s="11" t="s">
        <v>80</v>
      </c>
      <c r="N10" s="11" t="s">
        <v>81</v>
      </c>
      <c r="O10" s="11" t="s">
        <v>80</v>
      </c>
      <c r="P10" s="11" t="s">
        <v>81</v>
      </c>
      <c r="Q10" s="11" t="s">
        <v>80</v>
      </c>
      <c r="R10" s="11" t="s">
        <v>81</v>
      </c>
      <c r="S10" s="11" t="s">
        <v>80</v>
      </c>
      <c r="T10" s="11" t="s">
        <v>81</v>
      </c>
      <c r="U10" s="11" t="s">
        <v>80</v>
      </c>
      <c r="V10" s="11" t="s">
        <v>81</v>
      </c>
      <c r="W10" s="11" t="s">
        <v>80</v>
      </c>
      <c r="X10" s="11" t="s">
        <v>81</v>
      </c>
      <c r="Y10" s="11" t="s">
        <v>80</v>
      </c>
      <c r="Z10" s="11" t="s">
        <v>81</v>
      </c>
      <c r="AA10" s="11" t="s">
        <v>80</v>
      </c>
      <c r="AB10" s="11" t="s">
        <v>81</v>
      </c>
      <c r="AC10" s="11" t="s">
        <v>80</v>
      </c>
      <c r="AD10" s="11" t="s">
        <v>81</v>
      </c>
      <c r="AE10" s="11" t="s">
        <v>80</v>
      </c>
      <c r="AF10" s="11" t="s">
        <v>81</v>
      </c>
      <c r="AG10" s="11" t="s">
        <v>80</v>
      </c>
      <c r="AH10" s="11" t="s">
        <v>81</v>
      </c>
      <c r="AI10" s="11" t="s">
        <v>80</v>
      </c>
      <c r="AJ10" s="11" t="s">
        <v>81</v>
      </c>
      <c r="AK10" s="11" t="s">
        <v>80</v>
      </c>
      <c r="AL10" s="11" t="s">
        <v>81</v>
      </c>
      <c r="AM10" s="11" t="s">
        <v>80</v>
      </c>
      <c r="AN10" s="11" t="s">
        <v>81</v>
      </c>
      <c r="AO10" s="11" t="s">
        <v>80</v>
      </c>
      <c r="AP10" s="11" t="s">
        <v>81</v>
      </c>
      <c r="AQ10" s="11" t="s">
        <v>80</v>
      </c>
      <c r="AR10" s="11" t="s">
        <v>81</v>
      </c>
      <c r="AS10" s="11" t="s">
        <v>80</v>
      </c>
      <c r="AT10" s="11" t="s">
        <v>81</v>
      </c>
      <c r="AU10" s="11" t="s">
        <v>80</v>
      </c>
      <c r="AV10" s="11" t="s">
        <v>81</v>
      </c>
      <c r="AW10" s="11" t="s">
        <v>80</v>
      </c>
      <c r="AX10" s="11" t="s">
        <v>81</v>
      </c>
      <c r="AY10" s="11" t="s">
        <v>80</v>
      </c>
      <c r="AZ10" s="11" t="s">
        <v>81</v>
      </c>
      <c r="BA10" s="11" t="s">
        <v>80</v>
      </c>
      <c r="BB10" s="11" t="s">
        <v>81</v>
      </c>
      <c r="BC10" s="11" t="s">
        <v>80</v>
      </c>
      <c r="BD10" s="11" t="s">
        <v>81</v>
      </c>
      <c r="BE10" s="11" t="s">
        <v>80</v>
      </c>
      <c r="BF10" s="11" t="s">
        <v>81</v>
      </c>
    </row>
    <row r="11" spans="1:58">
      <c r="A11" s="17" t="s">
        <v>165</v>
      </c>
      <c r="B11" s="18">
        <f>HYPERLINK("#"&amp;CELL("address",OFFSET(Analítico!$B$1,MATCH(104658,Analítico!$B:$B,0)-1,3)),104658)</f>
        <v>0</v>
      </c>
      <c r="C11" s="7" t="s">
        <v>166</v>
      </c>
      <c r="D11" s="18" t="s">
        <v>151</v>
      </c>
      <c r="E11" s="19">
        <v>250.75</v>
      </c>
      <c r="F11" s="20">
        <v>0</v>
      </c>
      <c r="G11" s="19">
        <v>154.04</v>
      </c>
      <c r="H11" s="20">
        <v>0</v>
      </c>
      <c r="I11" s="19">
        <v>223.07</v>
      </c>
      <c r="J11" s="20">
        <v>0</v>
      </c>
      <c r="K11" s="19">
        <v>195.09</v>
      </c>
      <c r="L11" s="20">
        <v>0</v>
      </c>
      <c r="M11" s="19">
        <v>166.38</v>
      </c>
      <c r="N11" s="20">
        <v>0</v>
      </c>
      <c r="O11" s="19">
        <v>162.24</v>
      </c>
      <c r="P11" s="20">
        <v>0</v>
      </c>
      <c r="Q11" s="19">
        <v>186.74</v>
      </c>
      <c r="R11" s="20">
        <v>0</v>
      </c>
      <c r="S11" s="19">
        <v>175.63</v>
      </c>
      <c r="T11" s="20">
        <v>0</v>
      </c>
      <c r="U11" s="19">
        <v>176.44</v>
      </c>
      <c r="V11" s="20">
        <v>0</v>
      </c>
      <c r="W11" s="19">
        <v>161.04</v>
      </c>
      <c r="X11" s="20">
        <v>0</v>
      </c>
      <c r="Y11" s="19">
        <v>162.22</v>
      </c>
      <c r="Z11" s="20">
        <v>0</v>
      </c>
      <c r="AA11" s="19">
        <v>172.52</v>
      </c>
      <c r="AB11" s="20">
        <v>0</v>
      </c>
      <c r="AC11" s="19">
        <v>212.08</v>
      </c>
      <c r="AD11" s="20">
        <v>0</v>
      </c>
      <c r="AE11" s="19">
        <v>170.55</v>
      </c>
      <c r="AF11" s="20">
        <v>0</v>
      </c>
      <c r="AG11" s="19">
        <v>141.74</v>
      </c>
      <c r="AH11" s="20">
        <v>0</v>
      </c>
      <c r="AI11" s="19">
        <v>151.53</v>
      </c>
      <c r="AJ11" s="20">
        <v>0</v>
      </c>
      <c r="AK11" s="19">
        <v>146.49</v>
      </c>
      <c r="AL11" s="20">
        <v>0</v>
      </c>
      <c r="AM11" s="19">
        <v>156.93</v>
      </c>
      <c r="AN11" s="20">
        <v>0</v>
      </c>
      <c r="AO11" s="19">
        <v>178.27</v>
      </c>
      <c r="AP11" s="20">
        <v>0</v>
      </c>
      <c r="AQ11" s="19">
        <v>166.23</v>
      </c>
      <c r="AR11" s="20">
        <v>0</v>
      </c>
      <c r="AS11" s="19">
        <v>207.56</v>
      </c>
      <c r="AT11" s="20">
        <v>0</v>
      </c>
      <c r="AU11" s="19">
        <v>264.17</v>
      </c>
      <c r="AV11" s="20">
        <v>0</v>
      </c>
      <c r="AW11" s="19">
        <v>153.18</v>
      </c>
      <c r="AX11" s="20">
        <v>0</v>
      </c>
      <c r="AY11" s="19">
        <v>148.07</v>
      </c>
      <c r="AZ11" s="20">
        <v>0</v>
      </c>
      <c r="BA11" s="19">
        <v>167.26</v>
      </c>
      <c r="BB11" s="20">
        <v>0</v>
      </c>
      <c r="BC11" s="19">
        <v>191.17</v>
      </c>
      <c r="BD11" s="20">
        <v>0</v>
      </c>
      <c r="BE11" s="19">
        <v>193.03</v>
      </c>
      <c r="BF11" s="20">
        <v>0</v>
      </c>
    </row>
    <row r="112" spans="1:58">
      <c r="A112" s="17" t="s">
        <v>167</v>
      </c>
      <c r="B112" s="18">
        <f>HYPERLINK("#"&amp;CELL("address",OFFSET(Analítico!$B$1,MATCH(87398,Analítico!$B:$B,0)-1,3)),87398)</f>
        <v>0</v>
      </c>
      <c r="C112" s="7" t="s">
        <v>168</v>
      </c>
      <c r="D112" s="18" t="s">
        <v>144</v>
      </c>
      <c r="E112" s="19">
        <v>2968.58</v>
      </c>
      <c r="F112" s="20">
        <v>0</v>
      </c>
      <c r="G112" s="19">
        <v>2333.55</v>
      </c>
      <c r="H112" s="20">
        <v>0</v>
      </c>
      <c r="I112" s="19">
        <v>2953.05</v>
      </c>
      <c r="J112" s="20">
        <v>0</v>
      </c>
      <c r="K112" s="19">
        <v>2573.6</v>
      </c>
      <c r="L112" s="20">
        <v>0</v>
      </c>
      <c r="M112" s="19">
        <v>2048.51</v>
      </c>
      <c r="N112" s="20">
        <v>0</v>
      </c>
      <c r="O112" s="19">
        <v>2702.33</v>
      </c>
      <c r="P112" s="20">
        <v>0</v>
      </c>
      <c r="Q112" s="19">
        <v>1605.25</v>
      </c>
      <c r="R112" s="20">
        <v>0</v>
      </c>
      <c r="S112" s="19">
        <v>1841.96</v>
      </c>
      <c r="T112" s="20">
        <v>0</v>
      </c>
      <c r="U112" s="19">
        <v>1922.79</v>
      </c>
      <c r="V112" s="20">
        <v>0</v>
      </c>
      <c r="W112" s="19">
        <v>2381.81</v>
      </c>
      <c r="X112" s="20">
        <v>0</v>
      </c>
      <c r="Y112" s="19">
        <v>1695.47</v>
      </c>
      <c r="Z112" s="20">
        <v>0</v>
      </c>
      <c r="AA112" s="19">
        <v>2218.01</v>
      </c>
      <c r="AB112" s="20">
        <v>0</v>
      </c>
      <c r="AC112" s="19">
        <v>2866.01</v>
      </c>
      <c r="AD112" s="20">
        <v>0</v>
      </c>
      <c r="AE112" s="19">
        <v>2175.25</v>
      </c>
      <c r="AF112" s="20">
        <v>0</v>
      </c>
      <c r="AG112" s="19">
        <v>1921.9</v>
      </c>
      <c r="AH112" s="20">
        <v>0</v>
      </c>
      <c r="AI112" s="19">
        <v>2349.41</v>
      </c>
      <c r="AJ112" s="20">
        <v>0</v>
      </c>
      <c r="AK112" s="19">
        <v>1775.87</v>
      </c>
      <c r="AL112" s="20">
        <v>0</v>
      </c>
      <c r="AM112" s="19">
        <v>1944.63</v>
      </c>
      <c r="AN112" s="20">
        <v>0</v>
      </c>
      <c r="AO112" s="19">
        <v>1820.52</v>
      </c>
      <c r="AP112" s="20">
        <v>0</v>
      </c>
      <c r="AQ112" s="19">
        <v>2328.86</v>
      </c>
      <c r="AR112" s="20">
        <v>0</v>
      </c>
      <c r="AS112" s="19">
        <v>2511.05</v>
      </c>
      <c r="AT112" s="20">
        <v>0</v>
      </c>
      <c r="AU112" s="19">
        <v>3715.5</v>
      </c>
      <c r="AV112" s="20">
        <v>0</v>
      </c>
      <c r="AW112" s="19">
        <v>1939.91</v>
      </c>
      <c r="AX112" s="20">
        <v>0</v>
      </c>
      <c r="AY112" s="19">
        <v>1749.38</v>
      </c>
      <c r="AZ112" s="20">
        <v>0</v>
      </c>
      <c r="BA112" s="19">
        <v>2181.47</v>
      </c>
      <c r="BB112" s="20">
        <v>0</v>
      </c>
      <c r="BC112" s="19">
        <v>2015.95</v>
      </c>
      <c r="BD112" s="20">
        <v>0</v>
      </c>
      <c r="BE112" s="19">
        <v>1809.64</v>
      </c>
      <c r="BF112" s="20">
        <v>0</v>
      </c>
    </row>
    <row r="1105" spans="1:58">
      <c r="A1105" s="17" t="s">
        <v>169</v>
      </c>
      <c r="B1105" s="18">
        <f>HYPERLINK("#"&amp;CELL("address",OFFSET(Analítico!$B$1,MATCH(104943,Analítico!$B:$B,0)-1,3)),104943)</f>
        <v>0</v>
      </c>
      <c r="C1105" s="7" t="s">
        <v>170</v>
      </c>
      <c r="D1105" s="18" t="s">
        <v>151</v>
      </c>
      <c r="E1105" s="19">
        <v>0</v>
      </c>
      <c r="F1105" s="20"/>
      <c r="G1105" s="19">
        <v>0</v>
      </c>
      <c r="H1105" s="20"/>
      <c r="I1105" s="19">
        <v>0</v>
      </c>
      <c r="J1105" s="20"/>
      <c r="K1105" s="19">
        <v>0</v>
      </c>
      <c r="L1105" s="20"/>
      <c r="M1105" s="19">
        <v>0</v>
      </c>
      <c r="N1105" s="20"/>
      <c r="O1105" s="19">
        <v>0</v>
      </c>
      <c r="P1105" s="20"/>
      <c r="Q1105" s="19">
        <v>0</v>
      </c>
      <c r="R1105" s="20"/>
      <c r="S1105" s="19">
        <v>0</v>
      </c>
      <c r="T1105" s="20"/>
      <c r="U1105" s="19">
        <v>0</v>
      </c>
      <c r="V1105" s="20"/>
      <c r="W1105" s="19">
        <v>0</v>
      </c>
      <c r="X1105" s="20"/>
      <c r="Y1105" s="19">
        <v>0</v>
      </c>
      <c r="Z1105" s="20"/>
      <c r="AA1105" s="19">
        <v>0</v>
      </c>
      <c r="AB1105" s="20"/>
      <c r="AC1105" s="19">
        <v>0</v>
      </c>
      <c r="AD1105" s="20"/>
      <c r="AE1105" s="19">
        <v>0</v>
      </c>
      <c r="AF1105" s="20"/>
      <c r="AG1105" s="19">
        <v>0</v>
      </c>
      <c r="AH1105" s="20"/>
      <c r="AI1105" s="19">
        <v>0</v>
      </c>
      <c r="AJ1105" s="20"/>
      <c r="AK1105" s="19">
        <v>0</v>
      </c>
      <c r="AL1105" s="20"/>
      <c r="AM1105" s="19">
        <v>0</v>
      </c>
      <c r="AN1105" s="20"/>
      <c r="AO1105" s="19">
        <v>0</v>
      </c>
      <c r="AP1105" s="20"/>
      <c r="AQ1105" s="19">
        <v>0</v>
      </c>
      <c r="AR1105" s="20"/>
      <c r="AS1105" s="19">
        <v>0</v>
      </c>
      <c r="AT1105" s="20"/>
      <c r="AU1105" s="19">
        <v>0</v>
      </c>
      <c r="AV1105" s="20"/>
      <c r="AW1105" s="19">
        <v>0</v>
      </c>
      <c r="AX1105" s="20"/>
      <c r="AY1105" s="19">
        <v>0</v>
      </c>
      <c r="AZ1105" s="20"/>
      <c r="BA1105" s="19">
        <v>0</v>
      </c>
      <c r="BB1105" s="20"/>
      <c r="BC1105" s="19">
        <v>0</v>
      </c>
      <c r="BD1105" s="20"/>
      <c r="BE1105" s="19">
        <v>0</v>
      </c>
      <c r="BF1105" s="20"/>
    </row>
    <row r="1493" spans="1:58">
      <c r="A1493" s="17" t="s">
        <v>171</v>
      </c>
      <c r="B1493" s="18">
        <f>HYPERLINK("#"&amp;CELL("address",OFFSET(Analítico!$B$1,MATCH(102953,Analítico!$B:$B,0)-1,3)),102953)</f>
        <v>0</v>
      </c>
      <c r="C1493" s="7" t="s">
        <v>173</v>
      </c>
      <c r="D1493" s="18" t="s">
        <v>172</v>
      </c>
      <c r="E1493" s="19">
        <v>0</v>
      </c>
      <c r="F1493" s="20"/>
      <c r="G1493" s="19">
        <v>0</v>
      </c>
      <c r="H1493" s="20"/>
      <c r="I1493" s="19">
        <v>0</v>
      </c>
      <c r="J1493" s="20"/>
      <c r="K1493" s="19">
        <v>0</v>
      </c>
      <c r="L1493" s="20"/>
      <c r="M1493" s="19">
        <v>0</v>
      </c>
      <c r="N1493" s="20"/>
      <c r="O1493" s="19">
        <v>0</v>
      </c>
      <c r="P1493" s="20"/>
      <c r="Q1493" s="19">
        <v>0</v>
      </c>
      <c r="R1493" s="20"/>
      <c r="S1493" s="19">
        <v>0</v>
      </c>
      <c r="T1493" s="20"/>
      <c r="U1493" s="19">
        <v>0</v>
      </c>
      <c r="V1493" s="20"/>
      <c r="W1493" s="19">
        <v>0</v>
      </c>
      <c r="X1493" s="20"/>
      <c r="Y1493" s="19">
        <v>0</v>
      </c>
      <c r="Z1493" s="20"/>
      <c r="AA1493" s="19">
        <v>0</v>
      </c>
      <c r="AB1493" s="20"/>
      <c r="AC1493" s="19">
        <v>0</v>
      </c>
      <c r="AD1493" s="20"/>
      <c r="AE1493" s="19">
        <v>0</v>
      </c>
      <c r="AF1493" s="20"/>
      <c r="AG1493" s="19">
        <v>0</v>
      </c>
      <c r="AH1493" s="20"/>
      <c r="AI1493" s="19">
        <v>0</v>
      </c>
      <c r="AJ1493" s="20"/>
      <c r="AK1493" s="19">
        <v>0</v>
      </c>
      <c r="AL1493" s="20"/>
      <c r="AM1493" s="19">
        <v>0</v>
      </c>
      <c r="AN1493" s="20"/>
      <c r="AO1493" s="19">
        <v>0</v>
      </c>
      <c r="AP1493" s="20"/>
      <c r="AQ1493" s="19">
        <v>0</v>
      </c>
      <c r="AR1493" s="20"/>
      <c r="AS1493" s="19">
        <v>0</v>
      </c>
      <c r="AT1493" s="20"/>
      <c r="AU1493" s="19">
        <v>0</v>
      </c>
      <c r="AV1493" s="20"/>
      <c r="AW1493" s="19">
        <v>0</v>
      </c>
      <c r="AX1493" s="20"/>
      <c r="AY1493" s="19">
        <v>0</v>
      </c>
      <c r="AZ1493" s="20"/>
      <c r="BA1493" s="19">
        <v>0</v>
      </c>
      <c r="BB1493" s="20"/>
      <c r="BC1493" s="19">
        <v>0</v>
      </c>
      <c r="BD1493" s="20"/>
      <c r="BE1493" s="19">
        <v>0</v>
      </c>
      <c r="BF1493" s="20"/>
    </row>
    <row r="1981" spans="1:58">
      <c r="A1981" s="17" t="s">
        <v>174</v>
      </c>
      <c r="B1981" s="18">
        <f>HYPERLINK("#"&amp;CELL("address",OFFSET(Analítico!$B$1,MATCH(92715,Analítico!$B:$B,0)-1,3)),92715)</f>
        <v>0</v>
      </c>
      <c r="C1981" s="7" t="s">
        <v>175</v>
      </c>
      <c r="D1981" s="18" t="s">
        <v>146</v>
      </c>
      <c r="E1981" s="19">
        <v>114.72</v>
      </c>
      <c r="F1981" s="20">
        <v>1</v>
      </c>
      <c r="G1981" s="19">
        <v>139.08</v>
      </c>
      <c r="H1981" s="20">
        <v>0</v>
      </c>
      <c r="I1981" s="19">
        <v>114.72</v>
      </c>
      <c r="J1981" s="20">
        <v>1</v>
      </c>
      <c r="K1981" s="19">
        <v>114.72</v>
      </c>
      <c r="L1981" s="20">
        <v>1</v>
      </c>
      <c r="M1981" s="19">
        <v>164.59</v>
      </c>
      <c r="N1981" s="20">
        <v>0</v>
      </c>
      <c r="O1981" s="19">
        <v>105.48</v>
      </c>
      <c r="P1981" s="20">
        <v>0</v>
      </c>
      <c r="Q1981" s="19">
        <v>114.72</v>
      </c>
      <c r="R1981" s="20">
        <v>1</v>
      </c>
      <c r="S1981" s="19">
        <v>109.52</v>
      </c>
      <c r="T1981" s="20">
        <v>0</v>
      </c>
      <c r="U1981" s="19">
        <v>101.96</v>
      </c>
      <c r="V1981" s="20">
        <v>0</v>
      </c>
      <c r="W1981" s="19">
        <v>114.72</v>
      </c>
      <c r="X1981" s="20">
        <v>1</v>
      </c>
      <c r="Y1981" s="19">
        <v>83.44</v>
      </c>
      <c r="Z1981" s="20">
        <v>0</v>
      </c>
      <c r="AA1981" s="19">
        <v>104.3</v>
      </c>
      <c r="AB1981" s="20">
        <v>0</v>
      </c>
      <c r="AC1981" s="19">
        <v>124.8</v>
      </c>
      <c r="AD1981" s="20">
        <v>0</v>
      </c>
      <c r="AE1981" s="19">
        <v>114.72</v>
      </c>
      <c r="AF1981" s="20">
        <v>1</v>
      </c>
      <c r="AG1981" s="19">
        <v>114.72</v>
      </c>
      <c r="AH1981" s="20">
        <v>1</v>
      </c>
      <c r="AI1981" s="19">
        <v>114.72</v>
      </c>
      <c r="AJ1981" s="20">
        <v>1</v>
      </c>
      <c r="AK1981" s="19">
        <v>114.72</v>
      </c>
      <c r="AL1981" s="20">
        <v>1</v>
      </c>
      <c r="AM1981" s="19">
        <v>146.04</v>
      </c>
      <c r="AN1981" s="20">
        <v>0</v>
      </c>
      <c r="AO1981" s="19">
        <v>114.72</v>
      </c>
      <c r="AP1981" s="20">
        <v>1</v>
      </c>
      <c r="AQ1981" s="19">
        <v>114.72</v>
      </c>
      <c r="AR1981" s="20">
        <v>1</v>
      </c>
      <c r="AS1981" s="19">
        <v>114.72</v>
      </c>
      <c r="AT1981" s="20">
        <v>1</v>
      </c>
      <c r="AU1981" s="19">
        <v>114.72</v>
      </c>
      <c r="AV1981" s="20">
        <v>1</v>
      </c>
      <c r="AW1981" s="19">
        <v>115.24</v>
      </c>
      <c r="AX1981" s="20">
        <v>0</v>
      </c>
      <c r="AY1981" s="19">
        <v>114.72</v>
      </c>
      <c r="AZ1981" s="20">
        <v>1</v>
      </c>
      <c r="BA1981" s="19">
        <v>114.72</v>
      </c>
      <c r="BB1981" s="20">
        <v>1</v>
      </c>
      <c r="BC1981" s="19">
        <v>114.72</v>
      </c>
      <c r="BD1981" s="20">
        <v>0</v>
      </c>
      <c r="BE1981" s="19">
        <v>114.72</v>
      </c>
      <c r="BF1981" s="20">
        <v>1</v>
      </c>
    </row>
    <row r="1999" spans="1:58">
      <c r="A1999" s="17" t="s">
        <v>174</v>
      </c>
      <c r="B1999" s="18">
        <f>HYPERLINK("#"&amp;CELL("address",OFFSET(Analítico!$B$1,MATCH(102948,Analítico!$B:$B,0)-1,3)),102948)</f>
        <v>0</v>
      </c>
      <c r="C1999" s="7" t="s">
        <v>176</v>
      </c>
      <c r="D1999" s="18" t="s">
        <v>146</v>
      </c>
      <c r="E1999" s="19">
        <v>0</v>
      </c>
      <c r="F1999" s="20"/>
      <c r="G1999" s="19">
        <v>0</v>
      </c>
      <c r="H1999" s="20"/>
      <c r="I1999" s="19">
        <v>0</v>
      </c>
      <c r="J1999" s="20"/>
      <c r="K1999" s="19">
        <v>0</v>
      </c>
      <c r="L1999" s="20"/>
      <c r="M1999" s="19">
        <v>0</v>
      </c>
      <c r="N1999" s="20"/>
      <c r="O1999" s="19">
        <v>0</v>
      </c>
      <c r="P1999" s="20"/>
      <c r="Q1999" s="19">
        <v>0</v>
      </c>
      <c r="R1999" s="20"/>
      <c r="S1999" s="19">
        <v>0</v>
      </c>
      <c r="T1999" s="20"/>
      <c r="U1999" s="19">
        <v>0</v>
      </c>
      <c r="V1999" s="20"/>
      <c r="W1999" s="19">
        <v>0</v>
      </c>
      <c r="X1999" s="20"/>
      <c r="Y1999" s="19">
        <v>0</v>
      </c>
      <c r="Z1999" s="20"/>
      <c r="AA1999" s="19">
        <v>0</v>
      </c>
      <c r="AB1999" s="20"/>
      <c r="AC1999" s="19">
        <v>0</v>
      </c>
      <c r="AD1999" s="20"/>
      <c r="AE1999" s="19">
        <v>0</v>
      </c>
      <c r="AF1999" s="20"/>
      <c r="AG1999" s="19">
        <v>0</v>
      </c>
      <c r="AH1999" s="20"/>
      <c r="AI1999" s="19">
        <v>0</v>
      </c>
      <c r="AJ1999" s="20"/>
      <c r="AK1999" s="19">
        <v>0</v>
      </c>
      <c r="AL1999" s="20"/>
      <c r="AM1999" s="19">
        <v>0</v>
      </c>
      <c r="AN1999" s="20"/>
      <c r="AO1999" s="19">
        <v>0</v>
      </c>
      <c r="AP1999" s="20"/>
      <c r="AQ1999" s="19">
        <v>0</v>
      </c>
      <c r="AR1999" s="20"/>
      <c r="AS1999" s="19">
        <v>0</v>
      </c>
      <c r="AT1999" s="20"/>
      <c r="AU1999" s="19">
        <v>0</v>
      </c>
      <c r="AV1999" s="20"/>
      <c r="AW1999" s="19">
        <v>0</v>
      </c>
      <c r="AX1999" s="20"/>
      <c r="AY1999" s="19">
        <v>0</v>
      </c>
      <c r="AZ1999" s="20"/>
      <c r="BA1999" s="19">
        <v>0</v>
      </c>
      <c r="BB1999" s="20"/>
      <c r="BC1999" s="19">
        <v>0</v>
      </c>
      <c r="BD1999" s="20"/>
      <c r="BE1999" s="19">
        <v>0</v>
      </c>
      <c r="BF1999" s="20"/>
    </row>
    <row r="2000" spans="1:58">
      <c r="A2000" s="17" t="s">
        <v>174</v>
      </c>
      <c r="B2000" s="18">
        <f>HYPERLINK("#"&amp;CELL("address",OFFSET(Analítico!$B$1,MATCH(102949,Analítico!$B:$B,0)-1,3)),102949)</f>
        <v>0</v>
      </c>
      <c r="C2000" s="7" t="s">
        <v>177</v>
      </c>
      <c r="D2000" s="18" t="s">
        <v>146</v>
      </c>
      <c r="E2000" s="19">
        <v>0</v>
      </c>
      <c r="F2000" s="20"/>
      <c r="G2000" s="19">
        <v>0</v>
      </c>
      <c r="H2000" s="20"/>
      <c r="I2000" s="19">
        <v>0</v>
      </c>
      <c r="J2000" s="20"/>
      <c r="K2000" s="19">
        <v>0</v>
      </c>
      <c r="L2000" s="20"/>
      <c r="M2000" s="19">
        <v>0</v>
      </c>
      <c r="N2000" s="20"/>
      <c r="O2000" s="19">
        <v>0</v>
      </c>
      <c r="P2000" s="20"/>
      <c r="Q2000" s="19">
        <v>0</v>
      </c>
      <c r="R2000" s="20"/>
      <c r="S2000" s="19">
        <v>0</v>
      </c>
      <c r="T2000" s="20"/>
      <c r="U2000" s="19">
        <v>0</v>
      </c>
      <c r="V2000" s="20"/>
      <c r="W2000" s="19">
        <v>0</v>
      </c>
      <c r="X2000" s="20"/>
      <c r="Y2000" s="19">
        <v>0</v>
      </c>
      <c r="Z2000" s="20"/>
      <c r="AA2000" s="19">
        <v>0</v>
      </c>
      <c r="AB2000" s="20"/>
      <c r="AC2000" s="19">
        <v>0</v>
      </c>
      <c r="AD2000" s="20"/>
      <c r="AE2000" s="19">
        <v>0</v>
      </c>
      <c r="AF2000" s="20"/>
      <c r="AG2000" s="19">
        <v>0</v>
      </c>
      <c r="AH2000" s="20"/>
      <c r="AI2000" s="19">
        <v>0</v>
      </c>
      <c r="AJ2000" s="20"/>
      <c r="AK2000" s="19">
        <v>0</v>
      </c>
      <c r="AL2000" s="20"/>
      <c r="AM2000" s="19">
        <v>0</v>
      </c>
      <c r="AN2000" s="20"/>
      <c r="AO2000" s="19">
        <v>0</v>
      </c>
      <c r="AP2000" s="20"/>
      <c r="AQ2000" s="19">
        <v>0</v>
      </c>
      <c r="AR2000" s="20"/>
      <c r="AS2000" s="19">
        <v>0</v>
      </c>
      <c r="AT2000" s="20"/>
      <c r="AU2000" s="19">
        <v>0</v>
      </c>
      <c r="AV2000" s="20"/>
      <c r="AW2000" s="19">
        <v>0</v>
      </c>
      <c r="AX2000" s="20"/>
      <c r="AY2000" s="19">
        <v>0</v>
      </c>
      <c r="AZ2000" s="20"/>
      <c r="BA2000" s="19">
        <v>0</v>
      </c>
      <c r="BB2000" s="20"/>
      <c r="BC2000" s="19">
        <v>0</v>
      </c>
      <c r="BD2000" s="20"/>
      <c r="BE2000" s="19">
        <v>0</v>
      </c>
      <c r="BF2000" s="20"/>
    </row>
    <row r="7249" spans="1:58">
      <c r="A7249" s="17" t="s">
        <v>178</v>
      </c>
      <c r="B7249" s="18">
        <f>HYPERLINK("#"&amp;CELL("address",OFFSET(Analítico!$B$1,MATCH(95371,Analítico!$B:$B,0)-1,3)),95371)</f>
        <v>0</v>
      </c>
      <c r="C7249" s="7" t="s">
        <v>179</v>
      </c>
      <c r="D7249" s="18" t="s">
        <v>146</v>
      </c>
      <c r="E7249" s="19">
        <v>0.45</v>
      </c>
      <c r="F7249" s="20">
        <v>0</v>
      </c>
      <c r="G7249" s="19">
        <v>0.39</v>
      </c>
      <c r="H7249" s="20">
        <v>0</v>
      </c>
      <c r="I7249" s="19">
        <v>0.42</v>
      </c>
      <c r="J7249" s="20">
        <v>0</v>
      </c>
      <c r="K7249" s="19">
        <v>0.41</v>
      </c>
      <c r="L7249" s="20">
        <v>0</v>
      </c>
      <c r="M7249" s="19">
        <v>0.47</v>
      </c>
      <c r="N7249" s="20">
        <v>0</v>
      </c>
      <c r="O7249" s="19">
        <v>0.42</v>
      </c>
      <c r="P7249" s="20">
        <v>0</v>
      </c>
      <c r="Q7249" s="19">
        <v>0.45</v>
      </c>
      <c r="R7249" s="20">
        <v>0</v>
      </c>
      <c r="S7249" s="19">
        <v>0.43</v>
      </c>
      <c r="T7249" s="20">
        <v>0</v>
      </c>
      <c r="U7249" s="19">
        <v>0.47</v>
      </c>
      <c r="V7249" s="20">
        <v>0</v>
      </c>
      <c r="W7249" s="19">
        <v>0.41</v>
      </c>
      <c r="X7249" s="20">
        <v>0</v>
      </c>
      <c r="Y7249" s="19">
        <v>0.5</v>
      </c>
      <c r="Z7249" s="20">
        <v>0</v>
      </c>
      <c r="AA7249" s="19">
        <v>0.41</v>
      </c>
      <c r="AB7249" s="20">
        <v>0</v>
      </c>
      <c r="AC7249" s="19">
        <v>0.43</v>
      </c>
      <c r="AD7249" s="20">
        <v>0</v>
      </c>
      <c r="AE7249" s="19">
        <v>0.43</v>
      </c>
      <c r="AF7249" s="20">
        <v>0</v>
      </c>
      <c r="AG7249" s="19">
        <v>0.42</v>
      </c>
      <c r="AH7249" s="20">
        <v>0</v>
      </c>
      <c r="AI7249" s="19">
        <v>0.44</v>
      </c>
      <c r="AJ7249" s="20">
        <v>0</v>
      </c>
      <c r="AK7249" s="19">
        <v>0.42</v>
      </c>
      <c r="AL7249" s="20">
        <v>0</v>
      </c>
      <c r="AM7249" s="19">
        <v>0.5600000000000001</v>
      </c>
      <c r="AN7249" s="20">
        <v>0</v>
      </c>
      <c r="AO7249" s="19">
        <v>0.59</v>
      </c>
      <c r="AP7249" s="20">
        <v>0</v>
      </c>
      <c r="AQ7249" s="19">
        <v>0.38</v>
      </c>
      <c r="AR7249" s="20">
        <v>0</v>
      </c>
      <c r="AS7249" s="19">
        <v>0.45</v>
      </c>
      <c r="AT7249" s="20">
        <v>0</v>
      </c>
      <c r="AU7249" s="19">
        <v>0.5</v>
      </c>
      <c r="AV7249" s="20">
        <v>0</v>
      </c>
      <c r="AW7249" s="19">
        <v>0.44</v>
      </c>
      <c r="AX7249" s="20">
        <v>0</v>
      </c>
      <c r="AY7249" s="19">
        <v>0.59</v>
      </c>
      <c r="AZ7249" s="20">
        <v>0</v>
      </c>
      <c r="BA7249" s="19">
        <v>0.4</v>
      </c>
      <c r="BB7249" s="20">
        <v>0</v>
      </c>
      <c r="BC7249" s="19">
        <v>0.51</v>
      </c>
      <c r="BD7249" s="20">
        <v>0</v>
      </c>
      <c r="BE7249" s="19">
        <v>0.41</v>
      </c>
      <c r="BF7249" s="20">
        <v>0</v>
      </c>
    </row>
    <row r="7260" spans="1:58">
      <c r="A7260" s="17" t="s">
        <v>178</v>
      </c>
      <c r="B7260" s="18">
        <f>HYPERLINK("#"&amp;CELL("address",OFFSET(Analítico!$B$1,MATCH(95377,Analítico!$B:$B,0)-1,3)),95377)</f>
        <v>0</v>
      </c>
      <c r="C7260" s="7" t="s">
        <v>180</v>
      </c>
      <c r="D7260" s="18" t="s">
        <v>146</v>
      </c>
      <c r="E7260" s="19">
        <v>0.24</v>
      </c>
      <c r="F7260" s="20">
        <v>0</v>
      </c>
      <c r="G7260" s="19">
        <v>0.23</v>
      </c>
      <c r="H7260" s="20">
        <v>0</v>
      </c>
      <c r="I7260" s="19">
        <v>0.28</v>
      </c>
      <c r="J7260" s="20">
        <v>0</v>
      </c>
      <c r="K7260" s="19">
        <v>0.22</v>
      </c>
      <c r="L7260" s="20">
        <v>0</v>
      </c>
      <c r="M7260" s="19">
        <v>0.25</v>
      </c>
      <c r="N7260" s="20">
        <v>0</v>
      </c>
      <c r="O7260" s="19">
        <v>0.23</v>
      </c>
      <c r="P7260" s="20">
        <v>0</v>
      </c>
      <c r="Q7260" s="19">
        <v>0.24</v>
      </c>
      <c r="R7260" s="20">
        <v>0</v>
      </c>
      <c r="S7260" s="19">
        <v>0.27</v>
      </c>
      <c r="T7260" s="20">
        <v>0</v>
      </c>
      <c r="U7260" s="19">
        <v>0.25</v>
      </c>
      <c r="V7260" s="20">
        <v>0</v>
      </c>
      <c r="W7260" s="19">
        <v>0.22</v>
      </c>
      <c r="X7260" s="20">
        <v>0</v>
      </c>
      <c r="Y7260" s="19">
        <v>0.27</v>
      </c>
      <c r="Z7260" s="20">
        <v>0</v>
      </c>
      <c r="AA7260" s="19">
        <v>0.23</v>
      </c>
      <c r="AB7260" s="20">
        <v>0</v>
      </c>
      <c r="AC7260" s="19">
        <v>0.23</v>
      </c>
      <c r="AD7260" s="20">
        <v>0</v>
      </c>
      <c r="AE7260" s="19">
        <v>0.23</v>
      </c>
      <c r="AF7260" s="20">
        <v>0</v>
      </c>
      <c r="AG7260" s="19">
        <v>0.23</v>
      </c>
      <c r="AH7260" s="20">
        <v>0</v>
      </c>
      <c r="AI7260" s="19">
        <v>0.24</v>
      </c>
      <c r="AJ7260" s="20">
        <v>0</v>
      </c>
      <c r="AK7260" s="19">
        <v>0.23</v>
      </c>
      <c r="AL7260" s="20">
        <v>0</v>
      </c>
      <c r="AM7260" s="19">
        <v>0.3</v>
      </c>
      <c r="AN7260" s="20">
        <v>0</v>
      </c>
      <c r="AO7260" s="19">
        <v>0.32</v>
      </c>
      <c r="AP7260" s="20">
        <v>0</v>
      </c>
      <c r="AQ7260" s="19">
        <v>0.21</v>
      </c>
      <c r="AR7260" s="20">
        <v>0</v>
      </c>
      <c r="AS7260" s="19">
        <v>0.24</v>
      </c>
      <c r="AT7260" s="20">
        <v>0</v>
      </c>
      <c r="AU7260" s="19">
        <v>0.27</v>
      </c>
      <c r="AV7260" s="20">
        <v>0</v>
      </c>
      <c r="AW7260" s="19">
        <v>0.24</v>
      </c>
      <c r="AX7260" s="20">
        <v>0</v>
      </c>
      <c r="AY7260" s="19">
        <v>0.32</v>
      </c>
      <c r="AZ7260" s="20">
        <v>0</v>
      </c>
      <c r="BA7260" s="19">
        <v>0.21</v>
      </c>
      <c r="BB7260" s="20">
        <v>0</v>
      </c>
      <c r="BC7260" s="19">
        <v>0.28</v>
      </c>
      <c r="BD7260" s="20">
        <v>0</v>
      </c>
      <c r="BE7260" s="19">
        <v>0.22</v>
      </c>
      <c r="BF7260" s="20">
        <v>0</v>
      </c>
    </row>
    <row r="7262" spans="1:58">
      <c r="A7262" s="17" t="s">
        <v>178</v>
      </c>
      <c r="B7262" s="18">
        <f>HYPERLINK("#"&amp;CELL("address",OFFSET(Analítico!$B$1,MATCH(95378,Analítico!$B:$B,0)-1,3)),95378)</f>
        <v>0</v>
      </c>
      <c r="C7262" s="7" t="s">
        <v>181</v>
      </c>
      <c r="D7262" s="18" t="s">
        <v>146</v>
      </c>
      <c r="E7262" s="19">
        <v>0.31</v>
      </c>
      <c r="F7262" s="20">
        <v>0</v>
      </c>
      <c r="G7262" s="19">
        <v>0.31</v>
      </c>
      <c r="H7262" s="20">
        <v>0</v>
      </c>
      <c r="I7262" s="19">
        <v>0.31</v>
      </c>
      <c r="J7262" s="20">
        <v>0</v>
      </c>
      <c r="K7262" s="19">
        <v>0.31</v>
      </c>
      <c r="L7262" s="20">
        <v>0</v>
      </c>
      <c r="M7262" s="19">
        <v>0.31</v>
      </c>
      <c r="N7262" s="20">
        <v>0</v>
      </c>
      <c r="O7262" s="19">
        <v>0.31</v>
      </c>
      <c r="P7262" s="20">
        <v>0</v>
      </c>
      <c r="Q7262" s="19">
        <v>0.3</v>
      </c>
      <c r="R7262" s="20">
        <v>0</v>
      </c>
      <c r="S7262" s="19">
        <v>0.32</v>
      </c>
      <c r="T7262" s="20">
        <v>0</v>
      </c>
      <c r="U7262" s="19">
        <v>0.3</v>
      </c>
      <c r="V7262" s="20">
        <v>0</v>
      </c>
      <c r="W7262" s="19">
        <v>0.3</v>
      </c>
      <c r="X7262" s="20">
        <v>0</v>
      </c>
      <c r="Y7262" s="19">
        <v>0.34</v>
      </c>
      <c r="Z7262" s="20">
        <v>0</v>
      </c>
      <c r="AA7262" s="19">
        <v>0.31</v>
      </c>
      <c r="AB7262" s="20">
        <v>0</v>
      </c>
      <c r="AC7262" s="19">
        <v>0.32</v>
      </c>
      <c r="AD7262" s="20">
        <v>0</v>
      </c>
      <c r="AE7262" s="19">
        <v>0.31</v>
      </c>
      <c r="AF7262" s="20">
        <v>0</v>
      </c>
      <c r="AG7262" s="19">
        <v>0.32</v>
      </c>
      <c r="AH7262" s="20">
        <v>0</v>
      </c>
      <c r="AI7262" s="19">
        <v>0.33</v>
      </c>
      <c r="AJ7262" s="20">
        <v>0</v>
      </c>
      <c r="AK7262" s="19">
        <v>0.31</v>
      </c>
      <c r="AL7262" s="20">
        <v>0</v>
      </c>
      <c r="AM7262" s="19">
        <v>0.4</v>
      </c>
      <c r="AN7262" s="20">
        <v>0</v>
      </c>
      <c r="AO7262" s="19">
        <v>0.42</v>
      </c>
      <c r="AP7262" s="20">
        <v>0</v>
      </c>
      <c r="AQ7262" s="19">
        <v>0.31</v>
      </c>
      <c r="AR7262" s="20">
        <v>0</v>
      </c>
      <c r="AS7262" s="19">
        <v>0.36</v>
      </c>
      <c r="AT7262" s="20">
        <v>0</v>
      </c>
      <c r="AU7262" s="19">
        <v>0.31</v>
      </c>
      <c r="AV7262" s="20">
        <v>0</v>
      </c>
      <c r="AW7262" s="19">
        <v>0.35</v>
      </c>
      <c r="AX7262" s="20">
        <v>0</v>
      </c>
      <c r="AY7262" s="19">
        <v>0.41</v>
      </c>
      <c r="AZ7262" s="20">
        <v>0</v>
      </c>
      <c r="BA7262" s="19">
        <v>0.3</v>
      </c>
      <c r="BB7262" s="20">
        <v>0</v>
      </c>
      <c r="BC7262" s="19">
        <v>0.42</v>
      </c>
      <c r="BD7262" s="20">
        <v>0</v>
      </c>
      <c r="BE7262" s="19">
        <v>0.31</v>
      </c>
      <c r="BF7262" s="20">
        <v>0</v>
      </c>
    </row>
    <row r="7377" spans="1:58">
      <c r="A7377" s="17" t="s">
        <v>178</v>
      </c>
      <c r="B7377" s="18">
        <f>HYPERLINK("#"&amp;CELL("address",OFFSET(Analítico!$B$1,MATCH(88309,Analítico!$B:$B,0)-1,3)),88309)</f>
        <v>0</v>
      </c>
      <c r="C7377" s="7" t="s">
        <v>182</v>
      </c>
      <c r="D7377" s="18" t="s">
        <v>146</v>
      </c>
      <c r="E7377" s="19">
        <v>29.36</v>
      </c>
      <c r="F7377" s="20">
        <v>0</v>
      </c>
      <c r="G7377" s="19">
        <v>25.88</v>
      </c>
      <c r="H7377" s="20">
        <v>0</v>
      </c>
      <c r="I7377" s="19">
        <v>31.17</v>
      </c>
      <c r="J7377" s="20">
        <v>0</v>
      </c>
      <c r="K7377" s="19">
        <v>24.89</v>
      </c>
      <c r="L7377" s="20">
        <v>0</v>
      </c>
      <c r="M7377" s="19">
        <v>32.45</v>
      </c>
      <c r="N7377" s="20">
        <v>0</v>
      </c>
      <c r="O7377" s="19">
        <v>29.6</v>
      </c>
      <c r="P7377" s="20">
        <v>0</v>
      </c>
      <c r="Q7377" s="19">
        <v>31.09</v>
      </c>
      <c r="R7377" s="20">
        <v>0</v>
      </c>
      <c r="S7377" s="19">
        <v>32.87</v>
      </c>
      <c r="T7377" s="20">
        <v>0</v>
      </c>
      <c r="U7377" s="19">
        <v>30.39</v>
      </c>
      <c r="V7377" s="20">
        <v>0</v>
      </c>
      <c r="W7377" s="19">
        <v>26.35</v>
      </c>
      <c r="X7377" s="20">
        <v>0</v>
      </c>
      <c r="Y7377" s="19">
        <v>31.67</v>
      </c>
      <c r="Z7377" s="20">
        <v>0</v>
      </c>
      <c r="AA7377" s="19">
        <v>26.87</v>
      </c>
      <c r="AB7377" s="20">
        <v>0</v>
      </c>
      <c r="AC7377" s="19">
        <v>28.94</v>
      </c>
      <c r="AD7377" s="20">
        <v>0</v>
      </c>
      <c r="AE7377" s="19">
        <v>31.1</v>
      </c>
      <c r="AF7377" s="20">
        <v>0</v>
      </c>
      <c r="AG7377" s="19">
        <v>26.9</v>
      </c>
      <c r="AH7377" s="20">
        <v>0</v>
      </c>
      <c r="AI7377" s="19">
        <v>28.29</v>
      </c>
      <c r="AJ7377" s="20">
        <v>0</v>
      </c>
      <c r="AK7377" s="19">
        <v>27.82</v>
      </c>
      <c r="AL7377" s="20">
        <v>0</v>
      </c>
      <c r="AM7377" s="19">
        <v>38</v>
      </c>
      <c r="AN7377" s="20">
        <v>0</v>
      </c>
      <c r="AO7377" s="19">
        <v>38.89</v>
      </c>
      <c r="AP7377" s="20">
        <v>0</v>
      </c>
      <c r="AQ7377" s="19">
        <v>27.98</v>
      </c>
      <c r="AR7377" s="20">
        <v>0</v>
      </c>
      <c r="AS7377" s="19">
        <v>29.39</v>
      </c>
      <c r="AT7377" s="20">
        <v>0</v>
      </c>
      <c r="AU7377" s="19">
        <v>32.36</v>
      </c>
      <c r="AV7377" s="20">
        <v>0</v>
      </c>
      <c r="AW7377" s="19">
        <v>28.14</v>
      </c>
      <c r="AX7377" s="20">
        <v>0</v>
      </c>
      <c r="AY7377" s="19">
        <v>33.87</v>
      </c>
      <c r="AZ7377" s="20">
        <v>0</v>
      </c>
      <c r="BA7377" s="19">
        <v>26.32</v>
      </c>
      <c r="BB7377" s="20">
        <v>0</v>
      </c>
      <c r="BC7377" s="19">
        <v>33.9</v>
      </c>
      <c r="BD7377" s="20">
        <v>0</v>
      </c>
      <c r="BE7377" s="19">
        <v>27.35</v>
      </c>
      <c r="BF7377" s="20">
        <v>0</v>
      </c>
    </row>
    <row r="7388" spans="1:58">
      <c r="A7388" s="17" t="s">
        <v>178</v>
      </c>
      <c r="B7388" s="18">
        <f>HYPERLINK("#"&amp;CELL("address",OFFSET(Analítico!$B$1,MATCH(88315,Analítico!$B:$B,0)-1,3)),88315)</f>
        <v>0</v>
      </c>
      <c r="C7388" s="7" t="s">
        <v>183</v>
      </c>
      <c r="D7388" s="18" t="s">
        <v>146</v>
      </c>
      <c r="E7388" s="19">
        <v>29.15</v>
      </c>
      <c r="F7388" s="20">
        <v>0</v>
      </c>
      <c r="G7388" s="19">
        <v>27.58</v>
      </c>
      <c r="H7388" s="20">
        <v>0</v>
      </c>
      <c r="I7388" s="19">
        <v>35.91</v>
      </c>
      <c r="J7388" s="20">
        <v>0</v>
      </c>
      <c r="K7388" s="19">
        <v>24.7</v>
      </c>
      <c r="L7388" s="20">
        <v>0</v>
      </c>
      <c r="M7388" s="19">
        <v>32.23</v>
      </c>
      <c r="N7388" s="20">
        <v>0</v>
      </c>
      <c r="O7388" s="19">
        <v>29.41</v>
      </c>
      <c r="P7388" s="20">
        <v>0</v>
      </c>
      <c r="Q7388" s="19">
        <v>30.88</v>
      </c>
      <c r="R7388" s="20">
        <v>0</v>
      </c>
      <c r="S7388" s="19">
        <v>36.33</v>
      </c>
      <c r="T7388" s="20">
        <v>0</v>
      </c>
      <c r="U7388" s="19">
        <v>30.17</v>
      </c>
      <c r="V7388" s="20">
        <v>0</v>
      </c>
      <c r="W7388" s="19">
        <v>26.16</v>
      </c>
      <c r="X7388" s="20">
        <v>0</v>
      </c>
      <c r="Y7388" s="19">
        <v>31.44</v>
      </c>
      <c r="Z7388" s="20">
        <v>0</v>
      </c>
      <c r="AA7388" s="19">
        <v>27.15</v>
      </c>
      <c r="AB7388" s="20">
        <v>0</v>
      </c>
      <c r="AC7388" s="19">
        <v>28.74</v>
      </c>
      <c r="AD7388" s="20">
        <v>0</v>
      </c>
      <c r="AE7388" s="19">
        <v>30.9</v>
      </c>
      <c r="AF7388" s="20">
        <v>0</v>
      </c>
      <c r="AG7388" s="19">
        <v>26.71</v>
      </c>
      <c r="AH7388" s="20">
        <v>0</v>
      </c>
      <c r="AI7388" s="19">
        <v>28.09</v>
      </c>
      <c r="AJ7388" s="20">
        <v>0</v>
      </c>
      <c r="AK7388" s="19">
        <v>27.63</v>
      </c>
      <c r="AL7388" s="20">
        <v>0</v>
      </c>
      <c r="AM7388" s="19">
        <v>37.74</v>
      </c>
      <c r="AN7388" s="20">
        <v>0</v>
      </c>
      <c r="AO7388" s="19">
        <v>38.62</v>
      </c>
      <c r="AP7388" s="20">
        <v>0</v>
      </c>
      <c r="AQ7388" s="19">
        <v>27.81</v>
      </c>
      <c r="AR7388" s="20">
        <v>0</v>
      </c>
      <c r="AS7388" s="19">
        <v>29.18</v>
      </c>
      <c r="AT7388" s="20">
        <v>0</v>
      </c>
      <c r="AU7388" s="19">
        <v>32.13</v>
      </c>
      <c r="AV7388" s="20">
        <v>0</v>
      </c>
      <c r="AW7388" s="19">
        <v>27.94</v>
      </c>
      <c r="AX7388" s="20">
        <v>0</v>
      </c>
      <c r="AY7388" s="19">
        <v>33.6</v>
      </c>
      <c r="AZ7388" s="20">
        <v>0</v>
      </c>
      <c r="BA7388" s="19">
        <v>26.13</v>
      </c>
      <c r="BB7388" s="20">
        <v>0</v>
      </c>
      <c r="BC7388" s="19">
        <v>34.31</v>
      </c>
      <c r="BD7388" s="20">
        <v>0</v>
      </c>
      <c r="BE7388" s="19">
        <v>27.16</v>
      </c>
      <c r="BF7388" s="20">
        <v>0</v>
      </c>
    </row>
    <row r="7390" spans="1:58">
      <c r="A7390" s="17" t="s">
        <v>178</v>
      </c>
      <c r="B7390" s="18">
        <f>HYPERLINK("#"&amp;CELL("address",OFFSET(Analítico!$B$1,MATCH(88316,Analítico!$B:$B,0)-1,3)),88316)</f>
        <v>0</v>
      </c>
      <c r="C7390" s="7" t="s">
        <v>184</v>
      </c>
      <c r="D7390" s="18" t="s">
        <v>146</v>
      </c>
      <c r="E7390" s="19">
        <v>22.62</v>
      </c>
      <c r="F7390" s="20">
        <v>0</v>
      </c>
      <c r="G7390" s="19">
        <v>21.72</v>
      </c>
      <c r="H7390" s="20">
        <v>0</v>
      </c>
      <c r="I7390" s="19">
        <v>25.89</v>
      </c>
      <c r="J7390" s="20">
        <v>0</v>
      </c>
      <c r="K7390" s="19">
        <v>19.77</v>
      </c>
      <c r="L7390" s="20">
        <v>0</v>
      </c>
      <c r="M7390" s="19">
        <v>24.6</v>
      </c>
      <c r="N7390" s="20">
        <v>0</v>
      </c>
      <c r="O7390" s="19">
        <v>23.99</v>
      </c>
      <c r="P7390" s="20">
        <v>0</v>
      </c>
      <c r="Q7390" s="19">
        <v>23.92</v>
      </c>
      <c r="R7390" s="20">
        <v>0</v>
      </c>
      <c r="S7390" s="19">
        <v>27.71</v>
      </c>
      <c r="T7390" s="20">
        <v>0</v>
      </c>
      <c r="U7390" s="19">
        <v>22.12</v>
      </c>
      <c r="V7390" s="20">
        <v>0</v>
      </c>
      <c r="W7390" s="19">
        <v>21.05</v>
      </c>
      <c r="X7390" s="20">
        <v>0</v>
      </c>
      <c r="Y7390" s="19">
        <v>23.58</v>
      </c>
      <c r="Z7390" s="20">
        <v>0</v>
      </c>
      <c r="AA7390" s="19">
        <v>21.55</v>
      </c>
      <c r="AB7390" s="20">
        <v>0</v>
      </c>
      <c r="AC7390" s="19">
        <v>23.48</v>
      </c>
      <c r="AD7390" s="20">
        <v>0</v>
      </c>
      <c r="AE7390" s="19">
        <v>25.66</v>
      </c>
      <c r="AF7390" s="20">
        <v>0</v>
      </c>
      <c r="AG7390" s="19">
        <v>22.05</v>
      </c>
      <c r="AH7390" s="20">
        <v>0</v>
      </c>
      <c r="AI7390" s="19">
        <v>22.98</v>
      </c>
      <c r="AJ7390" s="20">
        <v>0</v>
      </c>
      <c r="AK7390" s="19">
        <v>22.46</v>
      </c>
      <c r="AL7390" s="20">
        <v>0</v>
      </c>
      <c r="AM7390" s="19">
        <v>29.86</v>
      </c>
      <c r="AN7390" s="20">
        <v>0</v>
      </c>
      <c r="AO7390" s="19">
        <v>30.51</v>
      </c>
      <c r="AP7390" s="20">
        <v>0</v>
      </c>
      <c r="AQ7390" s="19">
        <v>24.35</v>
      </c>
      <c r="AR7390" s="20">
        <v>0</v>
      </c>
      <c r="AS7390" s="19">
        <v>25.31</v>
      </c>
      <c r="AT7390" s="20">
        <v>0</v>
      </c>
      <c r="AU7390" s="19">
        <v>23.4</v>
      </c>
      <c r="AV7390" s="20">
        <v>0</v>
      </c>
      <c r="AW7390" s="19">
        <v>23.48</v>
      </c>
      <c r="AX7390" s="20">
        <v>0</v>
      </c>
      <c r="AY7390" s="19">
        <v>24.86</v>
      </c>
      <c r="AZ7390" s="20">
        <v>0</v>
      </c>
      <c r="BA7390" s="19">
        <v>21.65</v>
      </c>
      <c r="BB7390" s="20">
        <v>0</v>
      </c>
      <c r="BC7390" s="19">
        <v>29.52</v>
      </c>
      <c r="BD7390" s="20">
        <v>0</v>
      </c>
      <c r="BE7390" s="19">
        <v>22.14</v>
      </c>
      <c r="BF7390" s="20">
        <v>0</v>
      </c>
    </row>
  </sheetData>
  <autoFilter ref="A10:BF10265"/>
  <hyperlinks>
    <hyperlink ref="A11" r:id="rId1"/>
    <hyperlink ref="A112" r:id="rId102"/>
    <hyperlink ref="A1105" r:id="rId1095"/>
    <hyperlink ref="A1493" r:id="rId1483"/>
    <hyperlink ref="A1981" r:id="rId1971"/>
    <hyperlink ref="A1999" r:id="rId1989"/>
    <hyperlink ref="A2000" r:id="rId1990"/>
    <hyperlink ref="A7249" r:id="rId7239"/>
    <hyperlink ref="A7260" r:id="rId7250"/>
    <hyperlink ref="A7262" r:id="rId7252"/>
    <hyperlink ref="A7377" r:id="rId7367"/>
    <hyperlink ref="A7388" r:id="rId7378"/>
    <hyperlink ref="A7390" r:id="rId738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F10265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5" width="11.7109375" customWidth="1"/>
    <col min="6" max="6" width="5.7109375" customWidth="1"/>
    <col min="7" max="7" width="11.7109375" customWidth="1"/>
    <col min="8" max="8" width="5.7109375" customWidth="1"/>
    <col min="9" max="9" width="11.7109375" customWidth="1"/>
    <col min="10" max="10" width="5.7109375" customWidth="1"/>
    <col min="11" max="11" width="11.7109375" customWidth="1"/>
    <col min="12" max="12" width="5.7109375" customWidth="1"/>
    <col min="13" max="13" width="11.7109375" customWidth="1"/>
    <col min="14" max="14" width="5.7109375" customWidth="1"/>
    <col min="15" max="15" width="11.7109375" customWidth="1"/>
    <col min="16" max="16" width="5.7109375" customWidth="1"/>
    <col min="17" max="17" width="11.7109375" customWidth="1"/>
    <col min="18" max="18" width="5.7109375" customWidth="1"/>
    <col min="19" max="19" width="11.7109375" customWidth="1"/>
    <col min="20" max="20" width="5.7109375" customWidth="1"/>
    <col min="21" max="21" width="11.7109375" customWidth="1"/>
    <col min="22" max="22" width="5.7109375" customWidth="1"/>
    <col min="23" max="23" width="11.7109375" customWidth="1"/>
    <col min="24" max="24" width="5.7109375" customWidth="1"/>
    <col min="25" max="25" width="11.7109375" customWidth="1"/>
    <col min="26" max="26" width="5.7109375" customWidth="1"/>
    <col min="27" max="27" width="11.7109375" customWidth="1"/>
    <col min="28" max="28" width="5.7109375" customWidth="1"/>
    <col min="29" max="29" width="11.7109375" customWidth="1"/>
    <col min="30" max="30" width="5.7109375" customWidth="1"/>
    <col min="31" max="31" width="11.7109375" customWidth="1"/>
    <col min="32" max="32" width="5.7109375" customWidth="1"/>
    <col min="33" max="33" width="11.7109375" customWidth="1"/>
    <col min="34" max="34" width="5.7109375" customWidth="1"/>
    <col min="35" max="35" width="11.7109375" customWidth="1"/>
    <col min="36" max="36" width="5.7109375" customWidth="1"/>
    <col min="37" max="37" width="11.7109375" customWidth="1"/>
    <col min="38" max="38" width="5.7109375" customWidth="1"/>
    <col min="39" max="39" width="11.7109375" customWidth="1"/>
    <col min="40" max="40" width="5.7109375" customWidth="1"/>
    <col min="41" max="41" width="11.7109375" customWidth="1"/>
    <col min="42" max="42" width="5.7109375" customWidth="1"/>
    <col min="43" max="43" width="11.7109375" customWidth="1"/>
    <col min="44" max="44" width="5.7109375" customWidth="1"/>
    <col min="45" max="45" width="11.7109375" customWidth="1"/>
    <col min="46" max="46" width="5.7109375" customWidth="1"/>
    <col min="47" max="47" width="11.7109375" customWidth="1"/>
    <col min="48" max="48" width="5.7109375" customWidth="1"/>
    <col min="49" max="49" width="11.7109375" customWidth="1"/>
    <col min="50" max="50" width="5.7109375" customWidth="1"/>
    <col min="51" max="51" width="11.7109375" customWidth="1"/>
    <col min="52" max="52" width="5.7109375" customWidth="1"/>
    <col min="53" max="53" width="11.7109375" customWidth="1"/>
    <col min="54" max="54" width="5.7109375" customWidth="1"/>
    <col min="55" max="55" width="11.7109375" customWidth="1"/>
    <col min="56" max="56" width="5.7109375" customWidth="1"/>
    <col min="57" max="57" width="11.7109375" customWidth="1"/>
    <col min="58" max="58" width="5.7109375" customWidth="1"/>
  </cols>
  <sheetData>
    <row r="1" spans="1:58">
      <c r="A1" s="6" t="s">
        <v>0</v>
      </c>
    </row>
    <row r="2" spans="1:58">
      <c r="A2" s="7" t="s">
        <v>83</v>
      </c>
    </row>
    <row r="3" spans="1:58">
      <c r="A3" s="7" t="s">
        <v>22</v>
      </c>
      <c r="B3" s="12" t="s">
        <v>23</v>
      </c>
    </row>
    <row r="4" spans="1:58">
      <c r="A4" s="7" t="s">
        <v>24</v>
      </c>
      <c r="B4" s="12" t="s">
        <v>25</v>
      </c>
    </row>
    <row r="6" spans="1:58">
      <c r="A6" s="6" t="s">
        <v>73</v>
      </c>
      <c r="B6" s="7" t="s">
        <v>74</v>
      </c>
    </row>
    <row r="7" spans="1:58">
      <c r="B7" s="7" t="s">
        <v>75</v>
      </c>
    </row>
    <row r="8" spans="1:58">
      <c r="B8" s="7" t="s">
        <v>76</v>
      </c>
    </row>
    <row r="9" spans="1:58">
      <c r="B9" s="7" t="s">
        <v>77</v>
      </c>
      <c r="E9" s="11" t="s">
        <v>42</v>
      </c>
      <c r="F9" s="11"/>
      <c r="G9" s="11" t="s">
        <v>43</v>
      </c>
      <c r="H9" s="11"/>
      <c r="I9" s="11" t="s">
        <v>44</v>
      </c>
      <c r="J9" s="11"/>
      <c r="K9" s="11" t="s">
        <v>45</v>
      </c>
      <c r="L9" s="11"/>
      <c r="M9" s="11" t="s">
        <v>46</v>
      </c>
      <c r="N9" s="11"/>
      <c r="O9" s="11" t="s">
        <v>47</v>
      </c>
      <c r="P9" s="11"/>
      <c r="Q9" s="11" t="s">
        <v>48</v>
      </c>
      <c r="R9" s="11"/>
      <c r="S9" s="11" t="s">
        <v>49</v>
      </c>
      <c r="T9" s="11"/>
      <c r="U9" s="11" t="s">
        <v>50</v>
      </c>
      <c r="V9" s="11"/>
      <c r="W9" s="11" t="s">
        <v>51</v>
      </c>
      <c r="X9" s="11"/>
      <c r="Y9" s="11" t="s">
        <v>52</v>
      </c>
      <c r="Z9" s="11"/>
      <c r="AA9" s="11" t="s">
        <v>53</v>
      </c>
      <c r="AB9" s="11"/>
      <c r="AC9" s="11" t="s">
        <v>54</v>
      </c>
      <c r="AD9" s="11"/>
      <c r="AE9" s="11" t="s">
        <v>55</v>
      </c>
      <c r="AF9" s="11"/>
      <c r="AG9" s="11" t="s">
        <v>56</v>
      </c>
      <c r="AH9" s="11"/>
      <c r="AI9" s="11" t="s">
        <v>57</v>
      </c>
      <c r="AJ9" s="11"/>
      <c r="AK9" s="11" t="s">
        <v>58</v>
      </c>
      <c r="AL9" s="11"/>
      <c r="AM9" s="11" t="s">
        <v>59</v>
      </c>
      <c r="AN9" s="11"/>
      <c r="AO9" s="11" t="s">
        <v>60</v>
      </c>
      <c r="AP9" s="11"/>
      <c r="AQ9" s="11" t="s">
        <v>61</v>
      </c>
      <c r="AR9" s="11"/>
      <c r="AS9" s="11" t="s">
        <v>62</v>
      </c>
      <c r="AT9" s="11"/>
      <c r="AU9" s="11" t="s">
        <v>63</v>
      </c>
      <c r="AV9" s="11"/>
      <c r="AW9" s="11" t="s">
        <v>64</v>
      </c>
      <c r="AX9" s="11"/>
      <c r="AY9" s="11" t="s">
        <v>65</v>
      </c>
      <c r="AZ9" s="11"/>
      <c r="BA9" s="11" t="s">
        <v>66</v>
      </c>
      <c r="BB9" s="11"/>
      <c r="BC9" s="11" t="s">
        <v>67</v>
      </c>
      <c r="BD9" s="11"/>
      <c r="BE9" s="11" t="s">
        <v>68</v>
      </c>
      <c r="BF9" s="11"/>
    </row>
    <row r="10" spans="1:58">
      <c r="A10" s="11" t="s">
        <v>78</v>
      </c>
      <c r="B10" s="11" t="s">
        <v>79</v>
      </c>
      <c r="C10" s="11" t="s">
        <v>20</v>
      </c>
      <c r="D10" s="11" t="s">
        <v>21</v>
      </c>
      <c r="E10" s="11" t="s">
        <v>80</v>
      </c>
      <c r="F10" s="11" t="s">
        <v>81</v>
      </c>
      <c r="G10" s="11" t="s">
        <v>80</v>
      </c>
      <c r="H10" s="11" t="s">
        <v>81</v>
      </c>
      <c r="I10" s="11" t="s">
        <v>80</v>
      </c>
      <c r="J10" s="11" t="s">
        <v>81</v>
      </c>
      <c r="K10" s="11" t="s">
        <v>80</v>
      </c>
      <c r="L10" s="11" t="s">
        <v>81</v>
      </c>
      <c r="M10" s="11" t="s">
        <v>80</v>
      </c>
      <c r="N10" s="11" t="s">
        <v>81</v>
      </c>
      <c r="O10" s="11" t="s">
        <v>80</v>
      </c>
      <c r="P10" s="11" t="s">
        <v>81</v>
      </c>
      <c r="Q10" s="11" t="s">
        <v>80</v>
      </c>
      <c r="R10" s="11" t="s">
        <v>81</v>
      </c>
      <c r="S10" s="11" t="s">
        <v>80</v>
      </c>
      <c r="T10" s="11" t="s">
        <v>81</v>
      </c>
      <c r="U10" s="11" t="s">
        <v>80</v>
      </c>
      <c r="V10" s="11" t="s">
        <v>81</v>
      </c>
      <c r="W10" s="11" t="s">
        <v>80</v>
      </c>
      <c r="X10" s="11" t="s">
        <v>81</v>
      </c>
      <c r="Y10" s="11" t="s">
        <v>80</v>
      </c>
      <c r="Z10" s="11" t="s">
        <v>81</v>
      </c>
      <c r="AA10" s="11" t="s">
        <v>80</v>
      </c>
      <c r="AB10" s="11" t="s">
        <v>81</v>
      </c>
      <c r="AC10" s="11" t="s">
        <v>80</v>
      </c>
      <c r="AD10" s="11" t="s">
        <v>81</v>
      </c>
      <c r="AE10" s="11" t="s">
        <v>80</v>
      </c>
      <c r="AF10" s="11" t="s">
        <v>81</v>
      </c>
      <c r="AG10" s="11" t="s">
        <v>80</v>
      </c>
      <c r="AH10" s="11" t="s">
        <v>81</v>
      </c>
      <c r="AI10" s="11" t="s">
        <v>80</v>
      </c>
      <c r="AJ10" s="11" t="s">
        <v>81</v>
      </c>
      <c r="AK10" s="11" t="s">
        <v>80</v>
      </c>
      <c r="AL10" s="11" t="s">
        <v>81</v>
      </c>
      <c r="AM10" s="11" t="s">
        <v>80</v>
      </c>
      <c r="AN10" s="11" t="s">
        <v>81</v>
      </c>
      <c r="AO10" s="11" t="s">
        <v>80</v>
      </c>
      <c r="AP10" s="11" t="s">
        <v>81</v>
      </c>
      <c r="AQ10" s="11" t="s">
        <v>80</v>
      </c>
      <c r="AR10" s="11" t="s">
        <v>81</v>
      </c>
      <c r="AS10" s="11" t="s">
        <v>80</v>
      </c>
      <c r="AT10" s="11" t="s">
        <v>81</v>
      </c>
      <c r="AU10" s="11" t="s">
        <v>80</v>
      </c>
      <c r="AV10" s="11" t="s">
        <v>81</v>
      </c>
      <c r="AW10" s="11" t="s">
        <v>80</v>
      </c>
      <c r="AX10" s="11" t="s">
        <v>81</v>
      </c>
      <c r="AY10" s="11" t="s">
        <v>80</v>
      </c>
      <c r="AZ10" s="11" t="s">
        <v>81</v>
      </c>
      <c r="BA10" s="11" t="s">
        <v>80</v>
      </c>
      <c r="BB10" s="11" t="s">
        <v>81</v>
      </c>
      <c r="BC10" s="11" t="s">
        <v>80</v>
      </c>
      <c r="BD10" s="11" t="s">
        <v>81</v>
      </c>
      <c r="BE10" s="11" t="s">
        <v>80</v>
      </c>
      <c r="BF10" s="11" t="s">
        <v>81</v>
      </c>
    </row>
    <row r="11" spans="1:58">
      <c r="A11" s="17" t="s">
        <v>165</v>
      </c>
      <c r="B11" s="18">
        <f>HYPERLINK("#"&amp;CELL("address",OFFSET(Analítico!$B$1,MATCH(104658,Analítico!$B:$B,0)-1,3)),104658)</f>
        <v>0</v>
      </c>
      <c r="C11" s="7" t="s">
        <v>166</v>
      </c>
      <c r="D11" s="18" t="s">
        <v>151</v>
      </c>
      <c r="E11" s="19">
        <v>234.11</v>
      </c>
      <c r="F11" s="20">
        <v>0</v>
      </c>
      <c r="G11" s="19">
        <v>138.28</v>
      </c>
      <c r="H11" s="20">
        <v>0</v>
      </c>
      <c r="I11" s="19">
        <v>206.97</v>
      </c>
      <c r="J11" s="20">
        <v>0</v>
      </c>
      <c r="K11" s="19">
        <v>179.13</v>
      </c>
      <c r="L11" s="20">
        <v>0</v>
      </c>
      <c r="M11" s="19">
        <v>149.19</v>
      </c>
      <c r="N11" s="20">
        <v>0</v>
      </c>
      <c r="O11" s="19">
        <v>146.05</v>
      </c>
      <c r="P11" s="20">
        <v>0</v>
      </c>
      <c r="Q11" s="19">
        <v>170.74</v>
      </c>
      <c r="R11" s="20">
        <v>0</v>
      </c>
      <c r="S11" s="19">
        <v>158.68</v>
      </c>
      <c r="T11" s="20">
        <v>0</v>
      </c>
      <c r="U11" s="19">
        <v>160.44</v>
      </c>
      <c r="V11" s="20">
        <v>0</v>
      </c>
      <c r="W11" s="19">
        <v>145.22</v>
      </c>
      <c r="X11" s="20">
        <v>0</v>
      </c>
      <c r="Y11" s="19">
        <v>143.89</v>
      </c>
      <c r="Z11" s="20">
        <v>0</v>
      </c>
      <c r="AA11" s="19">
        <v>156.54</v>
      </c>
      <c r="AB11" s="20">
        <v>0</v>
      </c>
      <c r="AC11" s="19">
        <v>196.04</v>
      </c>
      <c r="AD11" s="20">
        <v>0</v>
      </c>
      <c r="AE11" s="19">
        <v>153.89</v>
      </c>
      <c r="AF11" s="20">
        <v>0</v>
      </c>
      <c r="AG11" s="19">
        <v>125.09</v>
      </c>
      <c r="AH11" s="20">
        <v>0</v>
      </c>
      <c r="AI11" s="19">
        <v>134.57</v>
      </c>
      <c r="AJ11" s="20">
        <v>0</v>
      </c>
      <c r="AK11" s="19">
        <v>130.43</v>
      </c>
      <c r="AL11" s="20">
        <v>0</v>
      </c>
      <c r="AM11" s="19">
        <v>135.79</v>
      </c>
      <c r="AN11" s="20">
        <v>0</v>
      </c>
      <c r="AO11" s="19">
        <v>156.47</v>
      </c>
      <c r="AP11" s="20">
        <v>0</v>
      </c>
      <c r="AQ11" s="19">
        <v>150.52</v>
      </c>
      <c r="AR11" s="20">
        <v>0</v>
      </c>
      <c r="AS11" s="19">
        <v>189.35</v>
      </c>
      <c r="AT11" s="20">
        <v>0</v>
      </c>
      <c r="AU11" s="19">
        <v>246.92</v>
      </c>
      <c r="AV11" s="20">
        <v>0</v>
      </c>
      <c r="AW11" s="19">
        <v>135.83</v>
      </c>
      <c r="AX11" s="20">
        <v>0</v>
      </c>
      <c r="AY11" s="19">
        <v>126.31</v>
      </c>
      <c r="AZ11" s="20">
        <v>0</v>
      </c>
      <c r="BA11" s="19">
        <v>151.98</v>
      </c>
      <c r="BB11" s="20">
        <v>0</v>
      </c>
      <c r="BC11" s="19">
        <v>170.41</v>
      </c>
      <c r="BD11" s="20">
        <v>0</v>
      </c>
      <c r="BE11" s="19">
        <v>177.07</v>
      </c>
      <c r="BF11" s="20">
        <v>0</v>
      </c>
    </row>
    <row r="112" spans="1:58">
      <c r="A112" s="17" t="s">
        <v>167</v>
      </c>
      <c r="B112" s="18">
        <f>HYPERLINK("#"&amp;CELL("address",OFFSET(Analítico!$B$1,MATCH(87398,Analítico!$B:$B,0)-1,3)),87398)</f>
        <v>0</v>
      </c>
      <c r="C112" s="7" t="s">
        <v>168</v>
      </c>
      <c r="D112" s="18" t="s">
        <v>144</v>
      </c>
      <c r="E112" s="19">
        <v>2873.27</v>
      </c>
      <c r="F112" s="20">
        <v>0</v>
      </c>
      <c r="G112" s="19">
        <v>2238.75</v>
      </c>
      <c r="H112" s="20">
        <v>0</v>
      </c>
      <c r="I112" s="19">
        <v>2858.5</v>
      </c>
      <c r="J112" s="20">
        <v>0</v>
      </c>
      <c r="K112" s="19">
        <v>2479.55</v>
      </c>
      <c r="L112" s="20">
        <v>0</v>
      </c>
      <c r="M112" s="19">
        <v>1952.2</v>
      </c>
      <c r="N112" s="20">
        <v>0</v>
      </c>
      <c r="O112" s="19">
        <v>2607.9</v>
      </c>
      <c r="P112" s="20">
        <v>0</v>
      </c>
      <c r="Q112" s="19">
        <v>1514.73</v>
      </c>
      <c r="R112" s="20">
        <v>0</v>
      </c>
      <c r="S112" s="19">
        <v>1741.62</v>
      </c>
      <c r="T112" s="20">
        <v>0</v>
      </c>
      <c r="U112" s="19">
        <v>1834.4</v>
      </c>
      <c r="V112" s="20">
        <v>0</v>
      </c>
      <c r="W112" s="19">
        <v>2288.77</v>
      </c>
      <c r="X112" s="20">
        <v>0</v>
      </c>
      <c r="Y112" s="19">
        <v>1591.98</v>
      </c>
      <c r="Z112" s="20">
        <v>0</v>
      </c>
      <c r="AA112" s="19">
        <v>2123.71</v>
      </c>
      <c r="AB112" s="20">
        <v>0</v>
      </c>
      <c r="AC112" s="19">
        <v>2771.58</v>
      </c>
      <c r="AD112" s="20">
        <v>0</v>
      </c>
      <c r="AE112" s="19">
        <v>2077.43</v>
      </c>
      <c r="AF112" s="20">
        <v>0</v>
      </c>
      <c r="AG112" s="19">
        <v>1822.95</v>
      </c>
      <c r="AH112" s="20">
        <v>0</v>
      </c>
      <c r="AI112" s="19">
        <v>2249.07</v>
      </c>
      <c r="AJ112" s="20">
        <v>0</v>
      </c>
      <c r="AK112" s="19">
        <v>1681.95</v>
      </c>
      <c r="AL112" s="20">
        <v>0</v>
      </c>
      <c r="AM112" s="19">
        <v>1822.76</v>
      </c>
      <c r="AN112" s="20">
        <v>0</v>
      </c>
      <c r="AO112" s="19">
        <v>1694.74</v>
      </c>
      <c r="AP112" s="20">
        <v>0</v>
      </c>
      <c r="AQ112" s="19">
        <v>2233.43</v>
      </c>
      <c r="AR112" s="20">
        <v>0</v>
      </c>
      <c r="AS112" s="19">
        <v>2400</v>
      </c>
      <c r="AT112" s="20">
        <v>0</v>
      </c>
      <c r="AU112" s="19">
        <v>3621.08</v>
      </c>
      <c r="AV112" s="20">
        <v>0</v>
      </c>
      <c r="AW112" s="19">
        <v>1835.54</v>
      </c>
      <c r="AX112" s="20">
        <v>0</v>
      </c>
      <c r="AY112" s="19">
        <v>1625.12</v>
      </c>
      <c r="AZ112" s="20">
        <v>0</v>
      </c>
      <c r="BA112" s="19">
        <v>2090.69</v>
      </c>
      <c r="BB112" s="20">
        <v>0</v>
      </c>
      <c r="BC112" s="19">
        <v>1888.67</v>
      </c>
      <c r="BD112" s="20">
        <v>0</v>
      </c>
      <c r="BE112" s="19">
        <v>1715.59</v>
      </c>
      <c r="BF112" s="20">
        <v>0</v>
      </c>
    </row>
    <row r="1105" spans="1:58">
      <c r="A1105" s="17" t="s">
        <v>169</v>
      </c>
      <c r="B1105" s="18">
        <f>HYPERLINK("#"&amp;CELL("address",OFFSET(Analítico!$B$1,MATCH(104943,Analítico!$B:$B,0)-1,3)),104943)</f>
        <v>0</v>
      </c>
      <c r="C1105" s="7" t="s">
        <v>170</v>
      </c>
      <c r="D1105" s="18" t="s">
        <v>151</v>
      </c>
      <c r="E1105" s="19">
        <v>0</v>
      </c>
      <c r="F1105" s="20"/>
      <c r="G1105" s="19">
        <v>0</v>
      </c>
      <c r="H1105" s="20"/>
      <c r="I1105" s="19">
        <v>0</v>
      </c>
      <c r="J1105" s="20"/>
      <c r="K1105" s="19">
        <v>0</v>
      </c>
      <c r="L1105" s="20"/>
      <c r="M1105" s="19">
        <v>0</v>
      </c>
      <c r="N1105" s="20"/>
      <c r="O1105" s="19">
        <v>0</v>
      </c>
      <c r="P1105" s="20"/>
      <c r="Q1105" s="19">
        <v>0</v>
      </c>
      <c r="R1105" s="20"/>
      <c r="S1105" s="19">
        <v>0</v>
      </c>
      <c r="T1105" s="20"/>
      <c r="U1105" s="19">
        <v>0</v>
      </c>
      <c r="V1105" s="20"/>
      <c r="W1105" s="19">
        <v>0</v>
      </c>
      <c r="X1105" s="20"/>
      <c r="Y1105" s="19">
        <v>0</v>
      </c>
      <c r="Z1105" s="20"/>
      <c r="AA1105" s="19">
        <v>0</v>
      </c>
      <c r="AB1105" s="20"/>
      <c r="AC1105" s="19">
        <v>0</v>
      </c>
      <c r="AD1105" s="20"/>
      <c r="AE1105" s="19">
        <v>0</v>
      </c>
      <c r="AF1105" s="20"/>
      <c r="AG1105" s="19">
        <v>0</v>
      </c>
      <c r="AH1105" s="20"/>
      <c r="AI1105" s="19">
        <v>0</v>
      </c>
      <c r="AJ1105" s="20"/>
      <c r="AK1105" s="19">
        <v>0</v>
      </c>
      <c r="AL1105" s="20"/>
      <c r="AM1105" s="19">
        <v>0</v>
      </c>
      <c r="AN1105" s="20"/>
      <c r="AO1105" s="19">
        <v>0</v>
      </c>
      <c r="AP1105" s="20"/>
      <c r="AQ1105" s="19">
        <v>0</v>
      </c>
      <c r="AR1105" s="20"/>
      <c r="AS1105" s="19">
        <v>0</v>
      </c>
      <c r="AT1105" s="20"/>
      <c r="AU1105" s="19">
        <v>0</v>
      </c>
      <c r="AV1105" s="20"/>
      <c r="AW1105" s="19">
        <v>0</v>
      </c>
      <c r="AX1105" s="20"/>
      <c r="AY1105" s="19">
        <v>0</v>
      </c>
      <c r="AZ1105" s="20"/>
      <c r="BA1105" s="19">
        <v>0</v>
      </c>
      <c r="BB1105" s="20"/>
      <c r="BC1105" s="19">
        <v>0</v>
      </c>
      <c r="BD1105" s="20"/>
      <c r="BE1105" s="19">
        <v>0</v>
      </c>
      <c r="BF1105" s="20"/>
    </row>
    <row r="1493" spans="1:58">
      <c r="A1493" s="17" t="s">
        <v>171</v>
      </c>
      <c r="B1493" s="18">
        <f>HYPERLINK("#"&amp;CELL("address",OFFSET(Analítico!$B$1,MATCH(102953,Analítico!$B:$B,0)-1,3)),102953)</f>
        <v>0</v>
      </c>
      <c r="C1493" s="7" t="s">
        <v>173</v>
      </c>
      <c r="D1493" s="18" t="s">
        <v>172</v>
      </c>
      <c r="E1493" s="19">
        <v>0</v>
      </c>
      <c r="F1493" s="20"/>
      <c r="G1493" s="19">
        <v>0</v>
      </c>
      <c r="H1493" s="20"/>
      <c r="I1493" s="19">
        <v>0</v>
      </c>
      <c r="J1493" s="20"/>
      <c r="K1493" s="19">
        <v>0</v>
      </c>
      <c r="L1493" s="20"/>
      <c r="M1493" s="19">
        <v>0</v>
      </c>
      <c r="N1493" s="20"/>
      <c r="O1493" s="19">
        <v>0</v>
      </c>
      <c r="P1493" s="20"/>
      <c r="Q1493" s="19">
        <v>0</v>
      </c>
      <c r="R1493" s="20"/>
      <c r="S1493" s="19">
        <v>0</v>
      </c>
      <c r="T1493" s="20"/>
      <c r="U1493" s="19">
        <v>0</v>
      </c>
      <c r="V1493" s="20"/>
      <c r="W1493" s="19">
        <v>0</v>
      </c>
      <c r="X1493" s="20"/>
      <c r="Y1493" s="19">
        <v>0</v>
      </c>
      <c r="Z1493" s="20"/>
      <c r="AA1493" s="19">
        <v>0</v>
      </c>
      <c r="AB1493" s="20"/>
      <c r="AC1493" s="19">
        <v>0</v>
      </c>
      <c r="AD1493" s="20"/>
      <c r="AE1493" s="19">
        <v>0</v>
      </c>
      <c r="AF1493" s="20"/>
      <c r="AG1493" s="19">
        <v>0</v>
      </c>
      <c r="AH1493" s="20"/>
      <c r="AI1493" s="19">
        <v>0</v>
      </c>
      <c r="AJ1493" s="20"/>
      <c r="AK1493" s="19">
        <v>0</v>
      </c>
      <c r="AL1493" s="20"/>
      <c r="AM1493" s="19">
        <v>0</v>
      </c>
      <c r="AN1493" s="20"/>
      <c r="AO1493" s="19">
        <v>0</v>
      </c>
      <c r="AP1493" s="20"/>
      <c r="AQ1493" s="19">
        <v>0</v>
      </c>
      <c r="AR1493" s="20"/>
      <c r="AS1493" s="19">
        <v>0</v>
      </c>
      <c r="AT1493" s="20"/>
      <c r="AU1493" s="19">
        <v>0</v>
      </c>
      <c r="AV1493" s="20"/>
      <c r="AW1493" s="19">
        <v>0</v>
      </c>
      <c r="AX1493" s="20"/>
      <c r="AY1493" s="19">
        <v>0</v>
      </c>
      <c r="AZ1493" s="20"/>
      <c r="BA1493" s="19">
        <v>0</v>
      </c>
      <c r="BB1493" s="20"/>
      <c r="BC1493" s="19">
        <v>0</v>
      </c>
      <c r="BD1493" s="20"/>
      <c r="BE1493" s="19">
        <v>0</v>
      </c>
      <c r="BF1493" s="20"/>
    </row>
    <row r="1981" spans="1:58">
      <c r="A1981" s="17" t="s">
        <v>174</v>
      </c>
      <c r="B1981" s="18">
        <f>HYPERLINK("#"&amp;CELL("address",OFFSET(Analítico!$B$1,MATCH(92715,Analítico!$B:$B,0)-1,3)),92715)</f>
        <v>0</v>
      </c>
      <c r="C1981" s="7" t="s">
        <v>175</v>
      </c>
      <c r="D1981" s="18" t="s">
        <v>146</v>
      </c>
      <c r="E1981" s="19">
        <v>114.72</v>
      </c>
      <c r="F1981" s="20">
        <v>1</v>
      </c>
      <c r="G1981" s="19">
        <v>139.08</v>
      </c>
      <c r="H1981" s="20">
        <v>0</v>
      </c>
      <c r="I1981" s="19">
        <v>114.72</v>
      </c>
      <c r="J1981" s="20">
        <v>1</v>
      </c>
      <c r="K1981" s="19">
        <v>114.72</v>
      </c>
      <c r="L1981" s="20">
        <v>1</v>
      </c>
      <c r="M1981" s="19">
        <v>164.59</v>
      </c>
      <c r="N1981" s="20">
        <v>0</v>
      </c>
      <c r="O1981" s="19">
        <v>105.48</v>
      </c>
      <c r="P1981" s="20">
        <v>0</v>
      </c>
      <c r="Q1981" s="19">
        <v>114.72</v>
      </c>
      <c r="R1981" s="20">
        <v>1</v>
      </c>
      <c r="S1981" s="19">
        <v>109.52</v>
      </c>
      <c r="T1981" s="20">
        <v>0</v>
      </c>
      <c r="U1981" s="19">
        <v>101.96</v>
      </c>
      <c r="V1981" s="20">
        <v>0</v>
      </c>
      <c r="W1981" s="19">
        <v>114.72</v>
      </c>
      <c r="X1981" s="20">
        <v>1</v>
      </c>
      <c r="Y1981" s="19">
        <v>83.44</v>
      </c>
      <c r="Z1981" s="20">
        <v>0</v>
      </c>
      <c r="AA1981" s="19">
        <v>104.3</v>
      </c>
      <c r="AB1981" s="20">
        <v>0</v>
      </c>
      <c r="AC1981" s="19">
        <v>124.8</v>
      </c>
      <c r="AD1981" s="20">
        <v>0</v>
      </c>
      <c r="AE1981" s="19">
        <v>114.72</v>
      </c>
      <c r="AF1981" s="20">
        <v>1</v>
      </c>
      <c r="AG1981" s="19">
        <v>114.72</v>
      </c>
      <c r="AH1981" s="20">
        <v>1</v>
      </c>
      <c r="AI1981" s="19">
        <v>114.72</v>
      </c>
      <c r="AJ1981" s="20">
        <v>1</v>
      </c>
      <c r="AK1981" s="19">
        <v>114.72</v>
      </c>
      <c r="AL1981" s="20">
        <v>1</v>
      </c>
      <c r="AM1981" s="19">
        <v>146.04</v>
      </c>
      <c r="AN1981" s="20">
        <v>0</v>
      </c>
      <c r="AO1981" s="19">
        <v>114.72</v>
      </c>
      <c r="AP1981" s="20">
        <v>1</v>
      </c>
      <c r="AQ1981" s="19">
        <v>114.72</v>
      </c>
      <c r="AR1981" s="20">
        <v>1</v>
      </c>
      <c r="AS1981" s="19">
        <v>114.72</v>
      </c>
      <c r="AT1981" s="20">
        <v>1</v>
      </c>
      <c r="AU1981" s="19">
        <v>114.72</v>
      </c>
      <c r="AV1981" s="20">
        <v>1</v>
      </c>
      <c r="AW1981" s="19">
        <v>115.24</v>
      </c>
      <c r="AX1981" s="20">
        <v>0</v>
      </c>
      <c r="AY1981" s="19">
        <v>114.72</v>
      </c>
      <c r="AZ1981" s="20">
        <v>1</v>
      </c>
      <c r="BA1981" s="19">
        <v>114.72</v>
      </c>
      <c r="BB1981" s="20">
        <v>1</v>
      </c>
      <c r="BC1981" s="19">
        <v>114.72</v>
      </c>
      <c r="BD1981" s="20">
        <v>0</v>
      </c>
      <c r="BE1981" s="19">
        <v>114.72</v>
      </c>
      <c r="BF1981" s="20">
        <v>1</v>
      </c>
    </row>
    <row r="1999" spans="1:58">
      <c r="A1999" s="17" t="s">
        <v>174</v>
      </c>
      <c r="B1999" s="18">
        <f>HYPERLINK("#"&amp;CELL("address",OFFSET(Analítico!$B$1,MATCH(102948,Analítico!$B:$B,0)-1,3)),102948)</f>
        <v>0</v>
      </c>
      <c r="C1999" s="7" t="s">
        <v>176</v>
      </c>
      <c r="D1999" s="18" t="s">
        <v>146</v>
      </c>
      <c r="E1999" s="19">
        <v>0</v>
      </c>
      <c r="F1999" s="20"/>
      <c r="G1999" s="19">
        <v>0</v>
      </c>
      <c r="H1999" s="20"/>
      <c r="I1999" s="19">
        <v>0</v>
      </c>
      <c r="J1999" s="20"/>
      <c r="K1999" s="19">
        <v>0</v>
      </c>
      <c r="L1999" s="20"/>
      <c r="M1999" s="19">
        <v>0</v>
      </c>
      <c r="N1999" s="20"/>
      <c r="O1999" s="19">
        <v>0</v>
      </c>
      <c r="P1999" s="20"/>
      <c r="Q1999" s="19">
        <v>0</v>
      </c>
      <c r="R1999" s="20"/>
      <c r="S1999" s="19">
        <v>0</v>
      </c>
      <c r="T1999" s="20"/>
      <c r="U1999" s="19">
        <v>0</v>
      </c>
      <c r="V1999" s="20"/>
      <c r="W1999" s="19">
        <v>0</v>
      </c>
      <c r="X1999" s="20"/>
      <c r="Y1999" s="19">
        <v>0</v>
      </c>
      <c r="Z1999" s="20"/>
      <c r="AA1999" s="19">
        <v>0</v>
      </c>
      <c r="AB1999" s="20"/>
      <c r="AC1999" s="19">
        <v>0</v>
      </c>
      <c r="AD1999" s="20"/>
      <c r="AE1999" s="19">
        <v>0</v>
      </c>
      <c r="AF1999" s="20"/>
      <c r="AG1999" s="19">
        <v>0</v>
      </c>
      <c r="AH1999" s="20"/>
      <c r="AI1999" s="19">
        <v>0</v>
      </c>
      <c r="AJ1999" s="20"/>
      <c r="AK1999" s="19">
        <v>0</v>
      </c>
      <c r="AL1999" s="20"/>
      <c r="AM1999" s="19">
        <v>0</v>
      </c>
      <c r="AN1999" s="20"/>
      <c r="AO1999" s="19">
        <v>0</v>
      </c>
      <c r="AP1999" s="20"/>
      <c r="AQ1999" s="19">
        <v>0</v>
      </c>
      <c r="AR1999" s="20"/>
      <c r="AS1999" s="19">
        <v>0</v>
      </c>
      <c r="AT1999" s="20"/>
      <c r="AU1999" s="19">
        <v>0</v>
      </c>
      <c r="AV1999" s="20"/>
      <c r="AW1999" s="19">
        <v>0</v>
      </c>
      <c r="AX1999" s="20"/>
      <c r="AY1999" s="19">
        <v>0</v>
      </c>
      <c r="AZ1999" s="20"/>
      <c r="BA1999" s="19">
        <v>0</v>
      </c>
      <c r="BB1999" s="20"/>
      <c r="BC1999" s="19">
        <v>0</v>
      </c>
      <c r="BD1999" s="20"/>
      <c r="BE1999" s="19">
        <v>0</v>
      </c>
      <c r="BF1999" s="20"/>
    </row>
    <row r="2000" spans="1:58">
      <c r="A2000" s="17" t="s">
        <v>174</v>
      </c>
      <c r="B2000" s="18">
        <f>HYPERLINK("#"&amp;CELL("address",OFFSET(Analítico!$B$1,MATCH(102949,Analítico!$B:$B,0)-1,3)),102949)</f>
        <v>0</v>
      </c>
      <c r="C2000" s="7" t="s">
        <v>177</v>
      </c>
      <c r="D2000" s="18" t="s">
        <v>146</v>
      </c>
      <c r="E2000" s="19">
        <v>0</v>
      </c>
      <c r="F2000" s="20"/>
      <c r="G2000" s="19">
        <v>0</v>
      </c>
      <c r="H2000" s="20"/>
      <c r="I2000" s="19">
        <v>0</v>
      </c>
      <c r="J2000" s="20"/>
      <c r="K2000" s="19">
        <v>0</v>
      </c>
      <c r="L2000" s="20"/>
      <c r="M2000" s="19">
        <v>0</v>
      </c>
      <c r="N2000" s="20"/>
      <c r="O2000" s="19">
        <v>0</v>
      </c>
      <c r="P2000" s="20"/>
      <c r="Q2000" s="19">
        <v>0</v>
      </c>
      <c r="R2000" s="20"/>
      <c r="S2000" s="19">
        <v>0</v>
      </c>
      <c r="T2000" s="20"/>
      <c r="U2000" s="19">
        <v>0</v>
      </c>
      <c r="V2000" s="20"/>
      <c r="W2000" s="19">
        <v>0</v>
      </c>
      <c r="X2000" s="20"/>
      <c r="Y2000" s="19">
        <v>0</v>
      </c>
      <c r="Z2000" s="20"/>
      <c r="AA2000" s="19">
        <v>0</v>
      </c>
      <c r="AB2000" s="20"/>
      <c r="AC2000" s="19">
        <v>0</v>
      </c>
      <c r="AD2000" s="20"/>
      <c r="AE2000" s="19">
        <v>0</v>
      </c>
      <c r="AF2000" s="20"/>
      <c r="AG2000" s="19">
        <v>0</v>
      </c>
      <c r="AH2000" s="20"/>
      <c r="AI2000" s="19">
        <v>0</v>
      </c>
      <c r="AJ2000" s="20"/>
      <c r="AK2000" s="19">
        <v>0</v>
      </c>
      <c r="AL2000" s="20"/>
      <c r="AM2000" s="19">
        <v>0</v>
      </c>
      <c r="AN2000" s="20"/>
      <c r="AO2000" s="19">
        <v>0</v>
      </c>
      <c r="AP2000" s="20"/>
      <c r="AQ2000" s="19">
        <v>0</v>
      </c>
      <c r="AR2000" s="20"/>
      <c r="AS2000" s="19">
        <v>0</v>
      </c>
      <c r="AT2000" s="20"/>
      <c r="AU2000" s="19">
        <v>0</v>
      </c>
      <c r="AV2000" s="20"/>
      <c r="AW2000" s="19">
        <v>0</v>
      </c>
      <c r="AX2000" s="20"/>
      <c r="AY2000" s="19">
        <v>0</v>
      </c>
      <c r="AZ2000" s="20"/>
      <c r="BA2000" s="19">
        <v>0</v>
      </c>
      <c r="BB2000" s="20"/>
      <c r="BC2000" s="19">
        <v>0</v>
      </c>
      <c r="BD2000" s="20"/>
      <c r="BE2000" s="19">
        <v>0</v>
      </c>
      <c r="BF2000" s="20"/>
    </row>
    <row r="7249" spans="1:58">
      <c r="A7249" s="17" t="s">
        <v>178</v>
      </c>
      <c r="B7249" s="18">
        <f>HYPERLINK("#"&amp;CELL("address",OFFSET(Analítico!$B$1,MATCH(95371,Analítico!$B:$B,0)-1,3)),95371)</f>
        <v>0</v>
      </c>
      <c r="C7249" s="7" t="s">
        <v>179</v>
      </c>
      <c r="D7249" s="18" t="s">
        <v>146</v>
      </c>
      <c r="E7249" s="19">
        <v>0.23</v>
      </c>
      <c r="F7249" s="20">
        <v>0</v>
      </c>
      <c r="G7249" s="19">
        <v>0.19</v>
      </c>
      <c r="H7249" s="20">
        <v>0</v>
      </c>
      <c r="I7249" s="19">
        <v>0.21</v>
      </c>
      <c r="J7249" s="20">
        <v>0</v>
      </c>
      <c r="K7249" s="19">
        <v>0.21</v>
      </c>
      <c r="L7249" s="20">
        <v>0</v>
      </c>
      <c r="M7249" s="19">
        <v>0.23</v>
      </c>
      <c r="N7249" s="20">
        <v>0</v>
      </c>
      <c r="O7249" s="19">
        <v>0.21</v>
      </c>
      <c r="P7249" s="20">
        <v>0</v>
      </c>
      <c r="Q7249" s="19">
        <v>0.23</v>
      </c>
      <c r="R7249" s="20">
        <v>0</v>
      </c>
      <c r="S7249" s="19">
        <v>0.21</v>
      </c>
      <c r="T7249" s="20">
        <v>0</v>
      </c>
      <c r="U7249" s="19">
        <v>0.24</v>
      </c>
      <c r="V7249" s="20">
        <v>0</v>
      </c>
      <c r="W7249" s="19">
        <v>0.21</v>
      </c>
      <c r="X7249" s="20">
        <v>0</v>
      </c>
      <c r="Y7249" s="19">
        <v>0.25</v>
      </c>
      <c r="Z7249" s="20">
        <v>0</v>
      </c>
      <c r="AA7249" s="19">
        <v>0.2</v>
      </c>
      <c r="AB7249" s="20">
        <v>0</v>
      </c>
      <c r="AC7249" s="19">
        <v>0.23</v>
      </c>
      <c r="AD7249" s="20">
        <v>0</v>
      </c>
      <c r="AE7249" s="19">
        <v>0.21</v>
      </c>
      <c r="AF7249" s="20">
        <v>0</v>
      </c>
      <c r="AG7249" s="19">
        <v>0.2</v>
      </c>
      <c r="AH7249" s="20">
        <v>0</v>
      </c>
      <c r="AI7249" s="19">
        <v>0.22</v>
      </c>
      <c r="AJ7249" s="20">
        <v>0</v>
      </c>
      <c r="AK7249" s="19">
        <v>0.21</v>
      </c>
      <c r="AL7249" s="20">
        <v>0</v>
      </c>
      <c r="AM7249" s="19">
        <v>0.28</v>
      </c>
      <c r="AN7249" s="20">
        <v>0</v>
      </c>
      <c r="AO7249" s="19">
        <v>0.3</v>
      </c>
      <c r="AP7249" s="20">
        <v>0</v>
      </c>
      <c r="AQ7249" s="19">
        <v>0.19</v>
      </c>
      <c r="AR7249" s="20">
        <v>0</v>
      </c>
      <c r="AS7249" s="19">
        <v>0.22</v>
      </c>
      <c r="AT7249" s="20">
        <v>0</v>
      </c>
      <c r="AU7249" s="19">
        <v>0.25</v>
      </c>
      <c r="AV7249" s="20">
        <v>0</v>
      </c>
      <c r="AW7249" s="19">
        <v>0.22</v>
      </c>
      <c r="AX7249" s="20">
        <v>0</v>
      </c>
      <c r="AY7249" s="19">
        <v>0.3</v>
      </c>
      <c r="AZ7249" s="20">
        <v>0</v>
      </c>
      <c r="BA7249" s="19">
        <v>0.2</v>
      </c>
      <c r="BB7249" s="20">
        <v>0</v>
      </c>
      <c r="BC7249" s="19">
        <v>0.25</v>
      </c>
      <c r="BD7249" s="20">
        <v>0</v>
      </c>
      <c r="BE7249" s="19">
        <v>0.2</v>
      </c>
      <c r="BF7249" s="20">
        <v>0</v>
      </c>
    </row>
    <row r="7260" spans="1:58">
      <c r="A7260" s="17" t="s">
        <v>178</v>
      </c>
      <c r="B7260" s="18">
        <f>HYPERLINK("#"&amp;CELL("address",OFFSET(Analítico!$B$1,MATCH(95377,Analítico!$B:$B,0)-1,3)),95377)</f>
        <v>0</v>
      </c>
      <c r="C7260" s="7" t="s">
        <v>180</v>
      </c>
      <c r="D7260" s="18" t="s">
        <v>146</v>
      </c>
      <c r="E7260" s="19">
        <v>0.12</v>
      </c>
      <c r="F7260" s="20">
        <v>0</v>
      </c>
      <c r="G7260" s="19">
        <v>0.11</v>
      </c>
      <c r="H7260" s="20">
        <v>0</v>
      </c>
      <c r="I7260" s="19">
        <v>0.14</v>
      </c>
      <c r="J7260" s="20">
        <v>0</v>
      </c>
      <c r="K7260" s="19">
        <v>0.11</v>
      </c>
      <c r="L7260" s="20">
        <v>0</v>
      </c>
      <c r="M7260" s="19">
        <v>0.12</v>
      </c>
      <c r="N7260" s="20">
        <v>0</v>
      </c>
      <c r="O7260" s="19">
        <v>0.11</v>
      </c>
      <c r="P7260" s="20">
        <v>0</v>
      </c>
      <c r="Q7260" s="19">
        <v>0.12</v>
      </c>
      <c r="R7260" s="20">
        <v>0</v>
      </c>
      <c r="S7260" s="19">
        <v>0.13</v>
      </c>
      <c r="T7260" s="20">
        <v>0</v>
      </c>
      <c r="U7260" s="19">
        <v>0.13</v>
      </c>
      <c r="V7260" s="20">
        <v>0</v>
      </c>
      <c r="W7260" s="19">
        <v>0.11</v>
      </c>
      <c r="X7260" s="20">
        <v>0</v>
      </c>
      <c r="Y7260" s="19">
        <v>0.13</v>
      </c>
      <c r="Z7260" s="20">
        <v>0</v>
      </c>
      <c r="AA7260" s="19">
        <v>0.11</v>
      </c>
      <c r="AB7260" s="20">
        <v>0</v>
      </c>
      <c r="AC7260" s="19">
        <v>0.12</v>
      </c>
      <c r="AD7260" s="20">
        <v>0</v>
      </c>
      <c r="AE7260" s="19">
        <v>0.11</v>
      </c>
      <c r="AF7260" s="20">
        <v>0</v>
      </c>
      <c r="AG7260" s="19">
        <v>0.11</v>
      </c>
      <c r="AH7260" s="20">
        <v>0</v>
      </c>
      <c r="AI7260" s="19">
        <v>0.12</v>
      </c>
      <c r="AJ7260" s="20">
        <v>0</v>
      </c>
      <c r="AK7260" s="19">
        <v>0.11</v>
      </c>
      <c r="AL7260" s="20">
        <v>0</v>
      </c>
      <c r="AM7260" s="19">
        <v>0.15</v>
      </c>
      <c r="AN7260" s="20">
        <v>0</v>
      </c>
      <c r="AO7260" s="19">
        <v>0.16</v>
      </c>
      <c r="AP7260" s="20">
        <v>0</v>
      </c>
      <c r="AQ7260" s="19">
        <v>0.1</v>
      </c>
      <c r="AR7260" s="20">
        <v>0</v>
      </c>
      <c r="AS7260" s="19">
        <v>0.12</v>
      </c>
      <c r="AT7260" s="20">
        <v>0</v>
      </c>
      <c r="AU7260" s="19">
        <v>0.13</v>
      </c>
      <c r="AV7260" s="20">
        <v>0</v>
      </c>
      <c r="AW7260" s="19">
        <v>0.12</v>
      </c>
      <c r="AX7260" s="20">
        <v>0</v>
      </c>
      <c r="AY7260" s="19">
        <v>0.16</v>
      </c>
      <c r="AZ7260" s="20">
        <v>0</v>
      </c>
      <c r="BA7260" s="19">
        <v>0.11</v>
      </c>
      <c r="BB7260" s="20">
        <v>0</v>
      </c>
      <c r="BC7260" s="19">
        <v>0.14</v>
      </c>
      <c r="BD7260" s="20">
        <v>0</v>
      </c>
      <c r="BE7260" s="19">
        <v>0.11</v>
      </c>
      <c r="BF7260" s="20">
        <v>0</v>
      </c>
    </row>
    <row r="7262" spans="1:58">
      <c r="A7262" s="17" t="s">
        <v>178</v>
      </c>
      <c r="B7262" s="18">
        <f>HYPERLINK("#"&amp;CELL("address",OFFSET(Analítico!$B$1,MATCH(95378,Analítico!$B:$B,0)-1,3)),95378)</f>
        <v>0</v>
      </c>
      <c r="C7262" s="7" t="s">
        <v>181</v>
      </c>
      <c r="D7262" s="18" t="s">
        <v>146</v>
      </c>
      <c r="E7262" s="19">
        <v>0.16</v>
      </c>
      <c r="F7262" s="20">
        <v>0</v>
      </c>
      <c r="G7262" s="19">
        <v>0.15</v>
      </c>
      <c r="H7262" s="20">
        <v>0</v>
      </c>
      <c r="I7262" s="19">
        <v>0.15</v>
      </c>
      <c r="J7262" s="20">
        <v>0</v>
      </c>
      <c r="K7262" s="19">
        <v>0.15</v>
      </c>
      <c r="L7262" s="20">
        <v>0</v>
      </c>
      <c r="M7262" s="19">
        <v>0.15</v>
      </c>
      <c r="N7262" s="20">
        <v>0</v>
      </c>
      <c r="O7262" s="19">
        <v>0.15</v>
      </c>
      <c r="P7262" s="20">
        <v>0</v>
      </c>
      <c r="Q7262" s="19">
        <v>0.15</v>
      </c>
      <c r="R7262" s="20">
        <v>0</v>
      </c>
      <c r="S7262" s="19">
        <v>0.16</v>
      </c>
      <c r="T7262" s="20">
        <v>0</v>
      </c>
      <c r="U7262" s="19">
        <v>0.15</v>
      </c>
      <c r="V7262" s="20">
        <v>0</v>
      </c>
      <c r="W7262" s="19">
        <v>0.15</v>
      </c>
      <c r="X7262" s="20">
        <v>0</v>
      </c>
      <c r="Y7262" s="19">
        <v>0.17</v>
      </c>
      <c r="Z7262" s="20">
        <v>0</v>
      </c>
      <c r="AA7262" s="19">
        <v>0.15</v>
      </c>
      <c r="AB7262" s="20">
        <v>0</v>
      </c>
      <c r="AC7262" s="19">
        <v>0.17</v>
      </c>
      <c r="AD7262" s="20">
        <v>0</v>
      </c>
      <c r="AE7262" s="19">
        <v>0.15</v>
      </c>
      <c r="AF7262" s="20">
        <v>0</v>
      </c>
      <c r="AG7262" s="19">
        <v>0.15</v>
      </c>
      <c r="AH7262" s="20">
        <v>0</v>
      </c>
      <c r="AI7262" s="19">
        <v>0.16</v>
      </c>
      <c r="AJ7262" s="20">
        <v>0</v>
      </c>
      <c r="AK7262" s="19">
        <v>0.15</v>
      </c>
      <c r="AL7262" s="20">
        <v>0</v>
      </c>
      <c r="AM7262" s="19">
        <v>0.2</v>
      </c>
      <c r="AN7262" s="20">
        <v>0</v>
      </c>
      <c r="AO7262" s="19">
        <v>0.21</v>
      </c>
      <c r="AP7262" s="20">
        <v>0</v>
      </c>
      <c r="AQ7262" s="19">
        <v>0.15</v>
      </c>
      <c r="AR7262" s="20">
        <v>0</v>
      </c>
      <c r="AS7262" s="19">
        <v>0.18</v>
      </c>
      <c r="AT7262" s="20">
        <v>0</v>
      </c>
      <c r="AU7262" s="19">
        <v>0.15</v>
      </c>
      <c r="AV7262" s="20">
        <v>0</v>
      </c>
      <c r="AW7262" s="19">
        <v>0.17</v>
      </c>
      <c r="AX7262" s="20">
        <v>0</v>
      </c>
      <c r="AY7262" s="19">
        <v>0.2</v>
      </c>
      <c r="AZ7262" s="20">
        <v>0</v>
      </c>
      <c r="BA7262" s="19">
        <v>0.15</v>
      </c>
      <c r="BB7262" s="20">
        <v>0</v>
      </c>
      <c r="BC7262" s="19">
        <v>0.21</v>
      </c>
      <c r="BD7262" s="20">
        <v>0</v>
      </c>
      <c r="BE7262" s="19">
        <v>0.15</v>
      </c>
      <c r="BF7262" s="20">
        <v>0</v>
      </c>
    </row>
    <row r="7377" spans="1:58">
      <c r="A7377" s="17" t="s">
        <v>178</v>
      </c>
      <c r="B7377" s="18">
        <f>HYPERLINK("#"&amp;CELL("address",OFFSET(Analítico!$B$1,MATCH(88309,Analítico!$B:$B,0)-1,3)),88309)</f>
        <v>0</v>
      </c>
      <c r="C7377" s="7" t="s">
        <v>182</v>
      </c>
      <c r="D7377" s="18" t="s">
        <v>146</v>
      </c>
      <c r="E7377" s="19">
        <v>18.49</v>
      </c>
      <c r="F7377" s="20">
        <v>0</v>
      </c>
      <c r="G7377" s="19">
        <v>16.29</v>
      </c>
      <c r="H7377" s="20">
        <v>0</v>
      </c>
      <c r="I7377" s="19">
        <v>21.01</v>
      </c>
      <c r="J7377" s="20">
        <v>0</v>
      </c>
      <c r="K7377" s="19">
        <v>14.86</v>
      </c>
      <c r="L7377" s="20">
        <v>0</v>
      </c>
      <c r="M7377" s="19">
        <v>20.87</v>
      </c>
      <c r="N7377" s="20">
        <v>0</v>
      </c>
      <c r="O7377" s="19">
        <v>19.28</v>
      </c>
      <c r="P7377" s="20">
        <v>0</v>
      </c>
      <c r="Q7377" s="19">
        <v>20.45</v>
      </c>
      <c r="R7377" s="20">
        <v>0</v>
      </c>
      <c r="S7377" s="19">
        <v>22.31</v>
      </c>
      <c r="T7377" s="20">
        <v>0</v>
      </c>
      <c r="U7377" s="19">
        <v>19.39</v>
      </c>
      <c r="V7377" s="20">
        <v>0</v>
      </c>
      <c r="W7377" s="19">
        <v>16.38</v>
      </c>
      <c r="X7377" s="20">
        <v>0</v>
      </c>
      <c r="Y7377" s="19">
        <v>19.43</v>
      </c>
      <c r="Z7377" s="20">
        <v>0</v>
      </c>
      <c r="AA7377" s="19">
        <v>16.85</v>
      </c>
      <c r="AB7377" s="20">
        <v>0</v>
      </c>
      <c r="AC7377" s="19">
        <v>18.87</v>
      </c>
      <c r="AD7377" s="20">
        <v>0</v>
      </c>
      <c r="AE7377" s="19">
        <v>20.57</v>
      </c>
      <c r="AF7377" s="20">
        <v>0</v>
      </c>
      <c r="AG7377" s="19">
        <v>16.58</v>
      </c>
      <c r="AH7377" s="20">
        <v>0</v>
      </c>
      <c r="AI7377" s="19">
        <v>17.7</v>
      </c>
      <c r="AJ7377" s="20">
        <v>0</v>
      </c>
      <c r="AK7377" s="19">
        <v>17.62</v>
      </c>
      <c r="AL7377" s="20">
        <v>0</v>
      </c>
      <c r="AM7377" s="19">
        <v>24.3</v>
      </c>
      <c r="AN7377" s="20">
        <v>0</v>
      </c>
      <c r="AO7377" s="19">
        <v>24.78</v>
      </c>
      <c r="AP7377" s="20">
        <v>0</v>
      </c>
      <c r="AQ7377" s="19">
        <v>18.57</v>
      </c>
      <c r="AR7377" s="20">
        <v>0</v>
      </c>
      <c r="AS7377" s="19">
        <v>18.55</v>
      </c>
      <c r="AT7377" s="20">
        <v>0</v>
      </c>
      <c r="AU7377" s="19">
        <v>20.36</v>
      </c>
      <c r="AV7377" s="20">
        <v>0</v>
      </c>
      <c r="AW7377" s="19">
        <v>17.6</v>
      </c>
      <c r="AX7377" s="20">
        <v>0</v>
      </c>
      <c r="AY7377" s="19">
        <v>19.57</v>
      </c>
      <c r="AZ7377" s="20">
        <v>0</v>
      </c>
      <c r="BA7377" s="19">
        <v>16.85</v>
      </c>
      <c r="BB7377" s="20">
        <v>0</v>
      </c>
      <c r="BC7377" s="19">
        <v>21.65</v>
      </c>
      <c r="BD7377" s="20">
        <v>0</v>
      </c>
      <c r="BE7377" s="19">
        <v>17.32</v>
      </c>
      <c r="BF7377" s="20">
        <v>0</v>
      </c>
    </row>
    <row r="7388" spans="1:58">
      <c r="A7388" s="17" t="s">
        <v>178</v>
      </c>
      <c r="B7388" s="18">
        <f>HYPERLINK("#"&amp;CELL("address",OFFSET(Analítico!$B$1,MATCH(88315,Analítico!$B:$B,0)-1,3)),88315)</f>
        <v>0</v>
      </c>
      <c r="C7388" s="7" t="s">
        <v>183</v>
      </c>
      <c r="D7388" s="18" t="s">
        <v>146</v>
      </c>
      <c r="E7388" s="19">
        <v>18.38</v>
      </c>
      <c r="F7388" s="20">
        <v>0</v>
      </c>
      <c r="G7388" s="19">
        <v>17.14</v>
      </c>
      <c r="H7388" s="20">
        <v>0</v>
      </c>
      <c r="I7388" s="19">
        <v>23.4</v>
      </c>
      <c r="J7388" s="20">
        <v>0</v>
      </c>
      <c r="K7388" s="19">
        <v>14.76</v>
      </c>
      <c r="L7388" s="20">
        <v>0</v>
      </c>
      <c r="M7388" s="19">
        <v>20.76</v>
      </c>
      <c r="N7388" s="20">
        <v>0</v>
      </c>
      <c r="O7388" s="19">
        <v>19.18</v>
      </c>
      <c r="P7388" s="20">
        <v>0</v>
      </c>
      <c r="Q7388" s="19">
        <v>20.34</v>
      </c>
      <c r="R7388" s="20">
        <v>0</v>
      </c>
      <c r="S7388" s="19">
        <v>24.02</v>
      </c>
      <c r="T7388" s="20">
        <v>0</v>
      </c>
      <c r="U7388" s="19">
        <v>19.28</v>
      </c>
      <c r="V7388" s="20">
        <v>0</v>
      </c>
      <c r="W7388" s="19">
        <v>16.28</v>
      </c>
      <c r="X7388" s="20">
        <v>0</v>
      </c>
      <c r="Y7388" s="19">
        <v>19.31</v>
      </c>
      <c r="Z7388" s="20">
        <v>0</v>
      </c>
      <c r="AA7388" s="19">
        <v>16.99</v>
      </c>
      <c r="AB7388" s="20">
        <v>0</v>
      </c>
      <c r="AC7388" s="19">
        <v>18.76</v>
      </c>
      <c r="AD7388" s="20">
        <v>0</v>
      </c>
      <c r="AE7388" s="19">
        <v>20.47</v>
      </c>
      <c r="AF7388" s="20">
        <v>0</v>
      </c>
      <c r="AG7388" s="19">
        <v>16.49</v>
      </c>
      <c r="AH7388" s="20">
        <v>0</v>
      </c>
      <c r="AI7388" s="19">
        <v>17.6</v>
      </c>
      <c r="AJ7388" s="20">
        <v>0</v>
      </c>
      <c r="AK7388" s="19">
        <v>17.52</v>
      </c>
      <c r="AL7388" s="20">
        <v>0</v>
      </c>
      <c r="AM7388" s="19">
        <v>24.17</v>
      </c>
      <c r="AN7388" s="20">
        <v>0</v>
      </c>
      <c r="AO7388" s="19">
        <v>24.64</v>
      </c>
      <c r="AP7388" s="20">
        <v>0</v>
      </c>
      <c r="AQ7388" s="19">
        <v>18.48</v>
      </c>
      <c r="AR7388" s="20">
        <v>0</v>
      </c>
      <c r="AS7388" s="19">
        <v>18.45</v>
      </c>
      <c r="AT7388" s="20">
        <v>0</v>
      </c>
      <c r="AU7388" s="19">
        <v>20.24</v>
      </c>
      <c r="AV7388" s="20">
        <v>0</v>
      </c>
      <c r="AW7388" s="19">
        <v>17.5</v>
      </c>
      <c r="AX7388" s="20">
        <v>0</v>
      </c>
      <c r="AY7388" s="19">
        <v>19.43</v>
      </c>
      <c r="AZ7388" s="20">
        <v>0</v>
      </c>
      <c r="BA7388" s="19">
        <v>16.76</v>
      </c>
      <c r="BB7388" s="20">
        <v>0</v>
      </c>
      <c r="BC7388" s="19">
        <v>21.86</v>
      </c>
      <c r="BD7388" s="20">
        <v>0</v>
      </c>
      <c r="BE7388" s="19">
        <v>17.23</v>
      </c>
      <c r="BF7388" s="20">
        <v>0</v>
      </c>
    </row>
    <row r="7390" spans="1:58">
      <c r="A7390" s="17" t="s">
        <v>178</v>
      </c>
      <c r="B7390" s="18">
        <f>HYPERLINK("#"&amp;CELL("address",OFFSET(Analítico!$B$1,MATCH(88316,Analítico!$B:$B,0)-1,3)),88316)</f>
        <v>0</v>
      </c>
      <c r="C7390" s="7" t="s">
        <v>184</v>
      </c>
      <c r="D7390" s="18" t="s">
        <v>146</v>
      </c>
      <c r="E7390" s="19">
        <v>15.05</v>
      </c>
      <c r="F7390" s="20">
        <v>0</v>
      </c>
      <c r="G7390" s="19">
        <v>14.19</v>
      </c>
      <c r="H7390" s="20">
        <v>0</v>
      </c>
      <c r="I7390" s="19">
        <v>18.38</v>
      </c>
      <c r="J7390" s="20">
        <v>0</v>
      </c>
      <c r="K7390" s="19">
        <v>12.3</v>
      </c>
      <c r="L7390" s="20">
        <v>0</v>
      </c>
      <c r="M7390" s="19">
        <v>16.95</v>
      </c>
      <c r="N7390" s="20">
        <v>0</v>
      </c>
      <c r="O7390" s="19">
        <v>16.49</v>
      </c>
      <c r="P7390" s="20">
        <v>0</v>
      </c>
      <c r="Q7390" s="19">
        <v>16.73</v>
      </c>
      <c r="R7390" s="20">
        <v>0</v>
      </c>
      <c r="S7390" s="19">
        <v>19.74</v>
      </c>
      <c r="T7390" s="20">
        <v>0</v>
      </c>
      <c r="U7390" s="19">
        <v>15.1</v>
      </c>
      <c r="V7390" s="20">
        <v>0</v>
      </c>
      <c r="W7390" s="19">
        <v>13.66</v>
      </c>
      <c r="X7390" s="20">
        <v>0</v>
      </c>
      <c r="Y7390" s="19">
        <v>15.36</v>
      </c>
      <c r="Z7390" s="20">
        <v>0</v>
      </c>
      <c r="AA7390" s="19">
        <v>14.06</v>
      </c>
      <c r="AB7390" s="20">
        <v>0</v>
      </c>
      <c r="AC7390" s="19">
        <v>15.98</v>
      </c>
      <c r="AD7390" s="20">
        <v>0</v>
      </c>
      <c r="AE7390" s="19">
        <v>17.89</v>
      </c>
      <c r="AF7390" s="20">
        <v>0</v>
      </c>
      <c r="AG7390" s="19">
        <v>14.19</v>
      </c>
      <c r="AH7390" s="20">
        <v>0</v>
      </c>
      <c r="AI7390" s="19">
        <v>15.01</v>
      </c>
      <c r="AJ7390" s="20">
        <v>0</v>
      </c>
      <c r="AK7390" s="19">
        <v>15</v>
      </c>
      <c r="AL7390" s="20">
        <v>0</v>
      </c>
      <c r="AM7390" s="19">
        <v>20.18</v>
      </c>
      <c r="AN7390" s="20">
        <v>0</v>
      </c>
      <c r="AO7390" s="19">
        <v>20.52</v>
      </c>
      <c r="AP7390" s="20">
        <v>0</v>
      </c>
      <c r="AQ7390" s="19">
        <v>16.77</v>
      </c>
      <c r="AR7390" s="20">
        <v>0</v>
      </c>
      <c r="AS7390" s="19">
        <v>16.49</v>
      </c>
      <c r="AT7390" s="20">
        <v>0</v>
      </c>
      <c r="AU7390" s="19">
        <v>15.9</v>
      </c>
      <c r="AV7390" s="20">
        <v>0</v>
      </c>
      <c r="AW7390" s="19">
        <v>15.19</v>
      </c>
      <c r="AX7390" s="20">
        <v>0</v>
      </c>
      <c r="AY7390" s="19">
        <v>14.99</v>
      </c>
      <c r="AZ7390" s="20">
        <v>0</v>
      </c>
      <c r="BA7390" s="19">
        <v>14.44</v>
      </c>
      <c r="BB7390" s="20">
        <v>0</v>
      </c>
      <c r="BC7390" s="19">
        <v>19.41</v>
      </c>
      <c r="BD7390" s="20">
        <v>0</v>
      </c>
      <c r="BE7390" s="19">
        <v>14.67</v>
      </c>
      <c r="BF7390" s="20">
        <v>0</v>
      </c>
    </row>
  </sheetData>
  <autoFilter ref="A10:BF10265"/>
  <hyperlinks>
    <hyperlink ref="A11" r:id="rId1"/>
    <hyperlink ref="A112" r:id="rId102"/>
    <hyperlink ref="A1105" r:id="rId1095"/>
    <hyperlink ref="A1493" r:id="rId1483"/>
    <hyperlink ref="A1981" r:id="rId1971"/>
    <hyperlink ref="A1999" r:id="rId1989"/>
    <hyperlink ref="A2000" r:id="rId1990"/>
    <hyperlink ref="A7249" r:id="rId7239"/>
    <hyperlink ref="A7260" r:id="rId7250"/>
    <hyperlink ref="A7262" r:id="rId7252"/>
    <hyperlink ref="A7377" r:id="rId7367"/>
    <hyperlink ref="A7388" r:id="rId7378"/>
    <hyperlink ref="A7390" r:id="rId7380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494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17.7109375" customWidth="1"/>
    <col min="2" max="4" width="13.7109375" customWidth="1"/>
    <col min="5" max="5" width="100.7109375" customWidth="1"/>
    <col min="6" max="6" width="10.7109375" customWidth="1"/>
    <col min="7" max="7" width="12.7109375" customWidth="1"/>
    <col min="8" max="8" width="13.7109375" customWidth="1"/>
  </cols>
  <sheetData>
    <row r="1" spans="1:8">
      <c r="A1" s="6" t="s">
        <v>0</v>
      </c>
    </row>
    <row r="2" spans="1:8">
      <c r="A2" s="7" t="s">
        <v>84</v>
      </c>
    </row>
    <row r="3" spans="1:8">
      <c r="A3" s="7" t="s">
        <v>22</v>
      </c>
      <c r="B3" s="12" t="s">
        <v>23</v>
      </c>
      <c r="D3" s="13" t="s">
        <v>85</v>
      </c>
    </row>
    <row r="4" spans="1:8">
      <c r="A4" s="7" t="s">
        <v>24</v>
      </c>
      <c r="B4" s="12" t="s">
        <v>25</v>
      </c>
      <c r="D4" s="9" t="s">
        <v>86</v>
      </c>
      <c r="E4" s="7" t="s">
        <v>91</v>
      </c>
    </row>
    <row r="5" spans="1:8">
      <c r="D5" s="9" t="s">
        <v>87</v>
      </c>
      <c r="E5" s="7" t="s">
        <v>92</v>
      </c>
    </row>
    <row r="6" spans="1:8">
      <c r="D6" s="9" t="s">
        <v>88</v>
      </c>
      <c r="E6" s="7" t="s">
        <v>93</v>
      </c>
    </row>
    <row r="7" spans="1:8">
      <c r="D7" s="9" t="s">
        <v>89</v>
      </c>
      <c r="E7" s="7" t="s">
        <v>94</v>
      </c>
    </row>
    <row r="8" spans="1:8">
      <c r="D8" s="9" t="s">
        <v>90</v>
      </c>
      <c r="E8" s="7" t="s">
        <v>95</v>
      </c>
    </row>
    <row r="10" spans="1:8">
      <c r="A10" s="11" t="s">
        <v>78</v>
      </c>
      <c r="B10" s="11" t="s">
        <v>79</v>
      </c>
      <c r="C10" s="11" t="s">
        <v>96</v>
      </c>
      <c r="D10" s="11" t="s">
        <v>97</v>
      </c>
      <c r="E10" s="11" t="s">
        <v>20</v>
      </c>
      <c r="F10" s="11" t="s">
        <v>21</v>
      </c>
      <c r="G10" s="11" t="s">
        <v>98</v>
      </c>
      <c r="H10" s="11" t="s">
        <v>99</v>
      </c>
    </row>
    <row r="11" spans="1:8">
      <c r="A11" s="6" t="s">
        <v>165</v>
      </c>
      <c r="B11" s="12">
        <v>104658</v>
      </c>
      <c r="C11" s="18"/>
      <c r="D11" s="18"/>
      <c r="E11" s="6" t="s">
        <v>166</v>
      </c>
      <c r="F11" s="12" t="s">
        <v>151</v>
      </c>
      <c r="G11" s="21"/>
      <c r="H11" s="12" t="s">
        <v>88</v>
      </c>
    </row>
    <row r="12" spans="1:8">
      <c r="A12" s="22" t="s">
        <v>165</v>
      </c>
      <c r="B12" s="23">
        <v>104658</v>
      </c>
      <c r="C12" s="18" t="s">
        <v>185</v>
      </c>
      <c r="D12" s="18">
        <v>88316</v>
      </c>
      <c r="E12" s="7" t="s">
        <v>184</v>
      </c>
      <c r="F12" s="18" t="s">
        <v>146</v>
      </c>
      <c r="G12" s="21">
        <v>1.279</v>
      </c>
      <c r="H12" s="18" t="s">
        <v>88</v>
      </c>
    </row>
    <row r="13" spans="1:8">
      <c r="A13" s="22" t="s">
        <v>165</v>
      </c>
      <c r="B13" s="23">
        <v>104658</v>
      </c>
      <c r="C13" s="18" t="s">
        <v>185</v>
      </c>
      <c r="D13" s="18">
        <v>88309</v>
      </c>
      <c r="E13" s="7" t="s">
        <v>182</v>
      </c>
      <c r="F13" s="18" t="s">
        <v>146</v>
      </c>
      <c r="G13" s="21">
        <v>0.639</v>
      </c>
      <c r="H13" s="18" t="s">
        <v>88</v>
      </c>
    </row>
    <row r="14" spans="1:8">
      <c r="A14" s="22" t="s">
        <v>165</v>
      </c>
      <c r="B14" s="23">
        <v>104658</v>
      </c>
      <c r="C14" s="18" t="s">
        <v>186</v>
      </c>
      <c r="D14" s="18">
        <v>36178</v>
      </c>
      <c r="E14" s="7" t="s">
        <v>159</v>
      </c>
      <c r="F14" s="18" t="s">
        <v>138</v>
      </c>
      <c r="G14" s="21">
        <v>6.4375</v>
      </c>
      <c r="H14" s="18" t="s">
        <v>86</v>
      </c>
    </row>
    <row r="15" spans="1:8">
      <c r="A15" s="22" t="s">
        <v>165</v>
      </c>
      <c r="B15" s="23">
        <v>104658</v>
      </c>
      <c r="C15" s="18" t="s">
        <v>186</v>
      </c>
      <c r="D15" s="18">
        <v>34357</v>
      </c>
      <c r="E15" s="7" t="s">
        <v>160</v>
      </c>
      <c r="F15" s="18" t="s">
        <v>143</v>
      </c>
      <c r="G15" s="21">
        <v>0.24</v>
      </c>
      <c r="H15" s="18" t="s">
        <v>86</v>
      </c>
    </row>
    <row r="16" spans="1:8">
      <c r="A16" s="22" t="s">
        <v>165</v>
      </c>
      <c r="B16" s="23">
        <v>104658</v>
      </c>
      <c r="C16" s="18" t="s">
        <v>186</v>
      </c>
      <c r="D16" s="18">
        <v>34353</v>
      </c>
      <c r="E16" s="7" t="s">
        <v>149</v>
      </c>
      <c r="F16" s="18" t="s">
        <v>143</v>
      </c>
      <c r="G16" s="21">
        <v>8.619999999999999</v>
      </c>
      <c r="H16" s="18" t="s">
        <v>86</v>
      </c>
    </row>
    <row r="713" spans="1:8">
      <c r="A713" s="6" t="s">
        <v>167</v>
      </c>
      <c r="B713" s="12">
        <v>87398</v>
      </c>
      <c r="C713" s="18"/>
      <c r="D713" s="18"/>
      <c r="E713" s="6" t="s">
        <v>168</v>
      </c>
      <c r="F713" s="12" t="s">
        <v>144</v>
      </c>
      <c r="G713" s="21"/>
      <c r="H713" s="12" t="s">
        <v>88</v>
      </c>
    </row>
    <row r="714" spans="1:8">
      <c r="A714" s="22" t="s">
        <v>167</v>
      </c>
      <c r="B714" s="23">
        <v>87398</v>
      </c>
      <c r="C714" s="18" t="s">
        <v>185</v>
      </c>
      <c r="D714" s="18">
        <v>88316</v>
      </c>
      <c r="E714" s="7" t="s">
        <v>184</v>
      </c>
      <c r="F714" s="18" t="s">
        <v>146</v>
      </c>
      <c r="G714" s="21">
        <v>12.59</v>
      </c>
      <c r="H714" s="18" t="s">
        <v>88</v>
      </c>
    </row>
    <row r="715" spans="1:8">
      <c r="A715" s="22" t="s">
        <v>167</v>
      </c>
      <c r="B715" s="23">
        <v>87398</v>
      </c>
      <c r="C715" s="18" t="s">
        <v>186</v>
      </c>
      <c r="D715" s="18">
        <v>371</v>
      </c>
      <c r="E715" s="7" t="s">
        <v>150</v>
      </c>
      <c r="F715" s="18" t="s">
        <v>143</v>
      </c>
      <c r="G715" s="21">
        <v>1890</v>
      </c>
      <c r="H715" s="18" t="s">
        <v>86</v>
      </c>
    </row>
    <row r="8227" spans="1:8">
      <c r="A8227" s="6" t="s">
        <v>169</v>
      </c>
      <c r="B8227" s="12">
        <v>104943</v>
      </c>
      <c r="C8227" s="18"/>
      <c r="D8227" s="18"/>
      <c r="E8227" s="6" t="s">
        <v>170</v>
      </c>
      <c r="F8227" s="12" t="s">
        <v>151</v>
      </c>
      <c r="G8227" s="21"/>
      <c r="H8227" s="12" t="s">
        <v>89</v>
      </c>
    </row>
    <row r="8228" spans="1:8">
      <c r="A8228" s="22" t="s">
        <v>169</v>
      </c>
      <c r="B8228" s="23">
        <v>104943</v>
      </c>
      <c r="C8228" s="18" t="s">
        <v>185</v>
      </c>
      <c r="D8228" s="18">
        <v>88315</v>
      </c>
      <c r="E8228" s="7" t="s">
        <v>183</v>
      </c>
      <c r="F8228" s="18" t="s">
        <v>146</v>
      </c>
      <c r="G8228" s="21">
        <v>1.556</v>
      </c>
      <c r="H8228" s="18" t="s">
        <v>88</v>
      </c>
    </row>
    <row r="8229" spans="1:8">
      <c r="A8229" s="22" t="s">
        <v>169</v>
      </c>
      <c r="B8229" s="23">
        <v>104943</v>
      </c>
      <c r="C8229" s="18" t="s">
        <v>186</v>
      </c>
      <c r="D8229" s="18">
        <v>45098</v>
      </c>
      <c r="E8229" s="7" t="s">
        <v>187</v>
      </c>
      <c r="F8229" s="18" t="s">
        <v>151</v>
      </c>
      <c r="G8229" s="21">
        <v>1</v>
      </c>
      <c r="H8229" s="18" t="s">
        <v>87</v>
      </c>
    </row>
    <row r="11336" spans="1:8">
      <c r="A11336" s="6" t="s">
        <v>171</v>
      </c>
      <c r="B11336" s="12">
        <v>102953</v>
      </c>
      <c r="C11336" s="18"/>
      <c r="D11336" s="18"/>
      <c r="E11336" s="6" t="s">
        <v>173</v>
      </c>
      <c r="F11336" s="12" t="s">
        <v>172</v>
      </c>
      <c r="G11336" s="21"/>
      <c r="H11336" s="12" t="s">
        <v>89</v>
      </c>
    </row>
    <row r="11337" spans="1:8">
      <c r="A11337" s="22" t="s">
        <v>171</v>
      </c>
      <c r="B11337" s="23">
        <v>102953</v>
      </c>
      <c r="C11337" s="18" t="s">
        <v>185</v>
      </c>
      <c r="D11337" s="18">
        <v>102949</v>
      </c>
      <c r="E11337" s="7" t="s">
        <v>177</v>
      </c>
      <c r="F11337" s="18" t="s">
        <v>146</v>
      </c>
      <c r="G11337" s="21">
        <v>1</v>
      </c>
      <c r="H11337" s="18" t="s">
        <v>89</v>
      </c>
    </row>
    <row r="11338" spans="1:8">
      <c r="A11338" s="22" t="s">
        <v>171</v>
      </c>
      <c r="B11338" s="23">
        <v>102953</v>
      </c>
      <c r="C11338" s="18" t="s">
        <v>185</v>
      </c>
      <c r="D11338" s="18">
        <v>102948</v>
      </c>
      <c r="E11338" s="7" t="s">
        <v>176</v>
      </c>
      <c r="F11338" s="18" t="s">
        <v>146</v>
      </c>
      <c r="G11338" s="21">
        <v>1</v>
      </c>
      <c r="H11338" s="18" t="s">
        <v>89</v>
      </c>
    </row>
    <row r="13601" spans="1:8">
      <c r="A13601" s="6" t="s">
        <v>174</v>
      </c>
      <c r="B13601" s="12">
        <v>92715</v>
      </c>
      <c r="C13601" s="18"/>
      <c r="D13601" s="18"/>
      <c r="E13601" s="6" t="s">
        <v>175</v>
      </c>
      <c r="F13601" s="12" t="s">
        <v>146</v>
      </c>
      <c r="G13601" s="21"/>
      <c r="H13601" s="12" t="s">
        <v>88</v>
      </c>
    </row>
    <row r="13602" spans="1:8">
      <c r="A13602" s="22" t="s">
        <v>174</v>
      </c>
      <c r="B13602" s="23">
        <v>92715</v>
      </c>
      <c r="C13602" s="18" t="s">
        <v>186</v>
      </c>
      <c r="D13602" s="18">
        <v>2</v>
      </c>
      <c r="E13602" s="7" t="s">
        <v>157</v>
      </c>
      <c r="F13602" s="18" t="s">
        <v>144</v>
      </c>
      <c r="G13602" s="21">
        <v>2.75</v>
      </c>
      <c r="H13602" s="18" t="s">
        <v>86</v>
      </c>
    </row>
    <row r="13603" spans="1:8">
      <c r="A13603" s="22" t="s">
        <v>174</v>
      </c>
      <c r="B13603" s="23">
        <v>92715</v>
      </c>
      <c r="C13603" s="18" t="s">
        <v>186</v>
      </c>
      <c r="D13603" s="18">
        <v>1</v>
      </c>
      <c r="E13603" s="7" t="s">
        <v>142</v>
      </c>
      <c r="F13603" s="18" t="s">
        <v>143</v>
      </c>
      <c r="G13603" s="21">
        <v>0.44051</v>
      </c>
      <c r="H13603" s="18" t="s">
        <v>86</v>
      </c>
    </row>
    <row r="13642" spans="1:8">
      <c r="A13642" s="6" t="s">
        <v>174</v>
      </c>
      <c r="B13642" s="12">
        <v>102948</v>
      </c>
      <c r="C13642" s="18"/>
      <c r="D13642" s="18"/>
      <c r="E13642" s="6" t="s">
        <v>176</v>
      </c>
      <c r="F13642" s="12" t="s">
        <v>146</v>
      </c>
      <c r="G13642" s="21"/>
      <c r="H13642" s="12" t="s">
        <v>89</v>
      </c>
    </row>
    <row r="13643" spans="1:8">
      <c r="A13643" s="22" t="s">
        <v>174</v>
      </c>
      <c r="B13643" s="23">
        <v>102948</v>
      </c>
      <c r="C13643" s="18" t="s">
        <v>186</v>
      </c>
      <c r="D13643" s="18">
        <v>44008</v>
      </c>
      <c r="E13643" s="7" t="s">
        <v>188</v>
      </c>
      <c r="F13643" s="18" t="s">
        <v>138</v>
      </c>
      <c r="G13643" s="21">
        <v>6.4E-05</v>
      </c>
      <c r="H13643" s="18" t="s">
        <v>87</v>
      </c>
    </row>
    <row r="13644" spans="1:8">
      <c r="A13644" s="6" t="s">
        <v>174</v>
      </c>
      <c r="B13644" s="12">
        <v>102949</v>
      </c>
      <c r="C13644" s="18"/>
      <c r="D13644" s="18"/>
      <c r="E13644" s="6" t="s">
        <v>177</v>
      </c>
      <c r="F13644" s="12" t="s">
        <v>146</v>
      </c>
      <c r="G13644" s="21"/>
      <c r="H13644" s="12" t="s">
        <v>89</v>
      </c>
    </row>
    <row r="13645" spans="1:8">
      <c r="A13645" s="22" t="s">
        <v>174</v>
      </c>
      <c r="B13645" s="23">
        <v>102949</v>
      </c>
      <c r="C13645" s="18" t="s">
        <v>186</v>
      </c>
      <c r="D13645" s="18">
        <v>44008</v>
      </c>
      <c r="E13645" s="7" t="s">
        <v>188</v>
      </c>
      <c r="F13645" s="18" t="s">
        <v>138</v>
      </c>
      <c r="G13645" s="21">
        <v>1.48E-05</v>
      </c>
      <c r="H13645" s="18" t="s">
        <v>87</v>
      </c>
    </row>
    <row r="44554" spans="1:8">
      <c r="A44554" s="6" t="s">
        <v>178</v>
      </c>
      <c r="B44554" s="12">
        <v>95371</v>
      </c>
      <c r="C44554" s="18"/>
      <c r="D44554" s="18"/>
      <c r="E44554" s="6" t="s">
        <v>179</v>
      </c>
      <c r="F44554" s="12" t="s">
        <v>146</v>
      </c>
      <c r="G44554" s="21"/>
      <c r="H44554" s="12" t="s">
        <v>88</v>
      </c>
    </row>
    <row r="44555" spans="1:8">
      <c r="A44555" s="22" t="s">
        <v>178</v>
      </c>
      <c r="B44555" s="23">
        <v>95371</v>
      </c>
      <c r="C44555" s="18" t="s">
        <v>186</v>
      </c>
      <c r="D44555" s="18">
        <v>4750</v>
      </c>
      <c r="E44555" s="7" t="s">
        <v>158</v>
      </c>
      <c r="F44555" s="18" t="s">
        <v>146</v>
      </c>
      <c r="G44555" s="21">
        <v>0.0212</v>
      </c>
      <c r="H44555" s="18" t="s">
        <v>86</v>
      </c>
    </row>
    <row r="44576" spans="1:8">
      <c r="A44576" s="6" t="s">
        <v>178</v>
      </c>
      <c r="B44576" s="12">
        <v>95377</v>
      </c>
      <c r="C44576" s="18"/>
      <c r="D44576" s="18"/>
      <c r="E44576" s="6" t="s">
        <v>180</v>
      </c>
      <c r="F44576" s="12" t="s">
        <v>146</v>
      </c>
      <c r="G44576" s="21"/>
      <c r="H44576" s="12" t="s">
        <v>88</v>
      </c>
    </row>
    <row r="44577" spans="1:8">
      <c r="A44577" s="22" t="s">
        <v>178</v>
      </c>
      <c r="B44577" s="23">
        <v>95377</v>
      </c>
      <c r="C44577" s="18" t="s">
        <v>186</v>
      </c>
      <c r="D44577" s="18">
        <v>6110</v>
      </c>
      <c r="E44577" s="7" t="s">
        <v>162</v>
      </c>
      <c r="F44577" s="18" t="s">
        <v>146</v>
      </c>
      <c r="G44577" s="21">
        <v>0.01154</v>
      </c>
      <c r="H44577" s="18" t="s">
        <v>86</v>
      </c>
    </row>
    <row r="44580" spans="1:8">
      <c r="A44580" s="6" t="s">
        <v>178</v>
      </c>
      <c r="B44580" s="12">
        <v>95378</v>
      </c>
      <c r="C44580" s="18"/>
      <c r="D44580" s="18"/>
      <c r="E44580" s="6" t="s">
        <v>181</v>
      </c>
      <c r="F44580" s="12" t="s">
        <v>146</v>
      </c>
      <c r="G44580" s="21"/>
      <c r="H44580" s="12" t="s">
        <v>88</v>
      </c>
    </row>
    <row r="44581" spans="1:8">
      <c r="A44581" s="22" t="s">
        <v>178</v>
      </c>
      <c r="B44581" s="23">
        <v>95378</v>
      </c>
      <c r="C44581" s="18" t="s">
        <v>186</v>
      </c>
      <c r="D44581" s="18">
        <v>6111</v>
      </c>
      <c r="E44581" s="7" t="s">
        <v>163</v>
      </c>
      <c r="F44581" s="18" t="s">
        <v>146</v>
      </c>
      <c r="G44581" s="21">
        <v>0.0212</v>
      </c>
      <c r="H44581" s="18" t="s">
        <v>86</v>
      </c>
    </row>
    <row r="45403" spans="1:8">
      <c r="A45403" s="6" t="s">
        <v>178</v>
      </c>
      <c r="B45403" s="12">
        <v>88309</v>
      </c>
      <c r="C45403" s="18"/>
      <c r="D45403" s="18"/>
      <c r="E45403" s="6" t="s">
        <v>182</v>
      </c>
      <c r="F45403" s="12" t="s">
        <v>146</v>
      </c>
      <c r="G45403" s="21"/>
      <c r="H45403" s="12" t="s">
        <v>88</v>
      </c>
    </row>
    <row r="45404" spans="1:8">
      <c r="A45404" s="22" t="s">
        <v>178</v>
      </c>
      <c r="B45404" s="23">
        <v>88309</v>
      </c>
      <c r="C45404" s="18" t="s">
        <v>185</v>
      </c>
      <c r="D45404" s="18">
        <v>95371</v>
      </c>
      <c r="E45404" s="7" t="s">
        <v>179</v>
      </c>
      <c r="F45404" s="18" t="s">
        <v>146</v>
      </c>
      <c r="G45404" s="21">
        <v>1</v>
      </c>
      <c r="H45404" s="18" t="s">
        <v>88</v>
      </c>
    </row>
    <row r="45405" spans="1:8">
      <c r="A45405" s="22" t="s">
        <v>178</v>
      </c>
      <c r="B45405" s="23">
        <v>88309</v>
      </c>
      <c r="C45405" s="18" t="s">
        <v>186</v>
      </c>
      <c r="D45405" s="18">
        <v>43489</v>
      </c>
      <c r="E45405" s="7" t="s">
        <v>152</v>
      </c>
      <c r="F45405" s="18" t="s">
        <v>146</v>
      </c>
      <c r="G45405" s="21">
        <v>1</v>
      </c>
      <c r="H45405" s="18" t="s">
        <v>86</v>
      </c>
    </row>
    <row r="45406" spans="1:8">
      <c r="A45406" s="22" t="s">
        <v>178</v>
      </c>
      <c r="B45406" s="23">
        <v>88309</v>
      </c>
      <c r="C45406" s="18" t="s">
        <v>186</v>
      </c>
      <c r="D45406" s="18">
        <v>43465</v>
      </c>
      <c r="E45406" s="7" t="s">
        <v>155</v>
      </c>
      <c r="F45406" s="18" t="s">
        <v>146</v>
      </c>
      <c r="G45406" s="21">
        <v>1</v>
      </c>
      <c r="H45406" s="18" t="s">
        <v>86</v>
      </c>
    </row>
    <row r="45407" spans="1:8">
      <c r="A45407" s="22" t="s">
        <v>178</v>
      </c>
      <c r="B45407" s="23">
        <v>88309</v>
      </c>
      <c r="C45407" s="18" t="s">
        <v>186</v>
      </c>
      <c r="D45407" s="18">
        <v>37373</v>
      </c>
      <c r="E45407" s="7" t="s">
        <v>161</v>
      </c>
      <c r="F45407" s="18" t="s">
        <v>146</v>
      </c>
      <c r="G45407" s="21">
        <v>1</v>
      </c>
      <c r="H45407" s="18" t="s">
        <v>86</v>
      </c>
    </row>
    <row r="45408" spans="1:8">
      <c r="A45408" s="22" t="s">
        <v>178</v>
      </c>
      <c r="B45408" s="23">
        <v>88309</v>
      </c>
      <c r="C45408" s="18" t="s">
        <v>186</v>
      </c>
      <c r="D45408" s="18">
        <v>37372</v>
      </c>
      <c r="E45408" s="7" t="s">
        <v>154</v>
      </c>
      <c r="F45408" s="18" t="s">
        <v>146</v>
      </c>
      <c r="G45408" s="21">
        <v>1</v>
      </c>
      <c r="H45408" s="18" t="s">
        <v>86</v>
      </c>
    </row>
    <row r="45409" spans="1:8">
      <c r="A45409" s="22" t="s">
        <v>178</v>
      </c>
      <c r="B45409" s="23">
        <v>88309</v>
      </c>
      <c r="C45409" s="18" t="s">
        <v>186</v>
      </c>
      <c r="D45409" s="18">
        <v>37371</v>
      </c>
      <c r="E45409" s="7" t="s">
        <v>164</v>
      </c>
      <c r="F45409" s="18" t="s">
        <v>146</v>
      </c>
      <c r="G45409" s="21">
        <v>1</v>
      </c>
      <c r="H45409" s="18" t="s">
        <v>86</v>
      </c>
    </row>
    <row r="45410" spans="1:8">
      <c r="A45410" s="22" t="s">
        <v>178</v>
      </c>
      <c r="B45410" s="23">
        <v>88309</v>
      </c>
      <c r="C45410" s="18" t="s">
        <v>186</v>
      </c>
      <c r="D45410" s="18">
        <v>37370</v>
      </c>
      <c r="E45410" s="7" t="s">
        <v>148</v>
      </c>
      <c r="F45410" s="18" t="s">
        <v>146</v>
      </c>
      <c r="G45410" s="21">
        <v>1</v>
      </c>
      <c r="H45410" s="18" t="s">
        <v>86</v>
      </c>
    </row>
    <row r="45411" spans="1:8">
      <c r="A45411" s="22" t="s">
        <v>178</v>
      </c>
      <c r="B45411" s="23">
        <v>88309</v>
      </c>
      <c r="C45411" s="18" t="s">
        <v>186</v>
      </c>
      <c r="D45411" s="18">
        <v>4750</v>
      </c>
      <c r="E45411" s="7" t="s">
        <v>158</v>
      </c>
      <c r="F45411" s="18" t="s">
        <v>146</v>
      </c>
      <c r="G45411" s="21">
        <v>1</v>
      </c>
      <c r="H45411" s="18" t="s">
        <v>86</v>
      </c>
    </row>
    <row r="45497" spans="1:8">
      <c r="A45497" s="6" t="s">
        <v>178</v>
      </c>
      <c r="B45497" s="12">
        <v>88315</v>
      </c>
      <c r="C45497" s="18"/>
      <c r="D45497" s="18"/>
      <c r="E45497" s="6" t="s">
        <v>183</v>
      </c>
      <c r="F45497" s="12" t="s">
        <v>146</v>
      </c>
      <c r="G45497" s="21"/>
      <c r="H45497" s="12" t="s">
        <v>88</v>
      </c>
    </row>
    <row r="45498" spans="1:8">
      <c r="A45498" s="22" t="s">
        <v>178</v>
      </c>
      <c r="B45498" s="23">
        <v>88315</v>
      </c>
      <c r="C45498" s="18" t="s">
        <v>185</v>
      </c>
      <c r="D45498" s="18">
        <v>95377</v>
      </c>
      <c r="E45498" s="7" t="s">
        <v>180</v>
      </c>
      <c r="F45498" s="18" t="s">
        <v>146</v>
      </c>
      <c r="G45498" s="21">
        <v>1</v>
      </c>
      <c r="H45498" s="18" t="s">
        <v>88</v>
      </c>
    </row>
    <row r="45499" spans="1:8">
      <c r="A45499" s="22" t="s">
        <v>178</v>
      </c>
      <c r="B45499" s="23">
        <v>88315</v>
      </c>
      <c r="C45499" s="18" t="s">
        <v>186</v>
      </c>
      <c r="D45499" s="18">
        <v>43489</v>
      </c>
      <c r="E45499" s="7" t="s">
        <v>152</v>
      </c>
      <c r="F45499" s="18" t="s">
        <v>146</v>
      </c>
      <c r="G45499" s="21">
        <v>1</v>
      </c>
      <c r="H45499" s="18" t="s">
        <v>86</v>
      </c>
    </row>
    <row r="45500" spans="1:8">
      <c r="A45500" s="22" t="s">
        <v>178</v>
      </c>
      <c r="B45500" s="23">
        <v>88315</v>
      </c>
      <c r="C45500" s="18" t="s">
        <v>186</v>
      </c>
      <c r="D45500" s="18">
        <v>43465</v>
      </c>
      <c r="E45500" s="7" t="s">
        <v>155</v>
      </c>
      <c r="F45500" s="18" t="s">
        <v>146</v>
      </c>
      <c r="G45500" s="21">
        <v>1</v>
      </c>
      <c r="H45500" s="18" t="s">
        <v>86</v>
      </c>
    </row>
    <row r="45501" spans="1:8">
      <c r="A45501" s="22" t="s">
        <v>178</v>
      </c>
      <c r="B45501" s="23">
        <v>88315</v>
      </c>
      <c r="C45501" s="18" t="s">
        <v>186</v>
      </c>
      <c r="D45501" s="18">
        <v>37373</v>
      </c>
      <c r="E45501" s="7" t="s">
        <v>161</v>
      </c>
      <c r="F45501" s="18" t="s">
        <v>146</v>
      </c>
      <c r="G45501" s="21">
        <v>1</v>
      </c>
      <c r="H45501" s="18" t="s">
        <v>86</v>
      </c>
    </row>
    <row r="45502" spans="1:8">
      <c r="A45502" s="22" t="s">
        <v>178</v>
      </c>
      <c r="B45502" s="23">
        <v>88315</v>
      </c>
      <c r="C45502" s="18" t="s">
        <v>186</v>
      </c>
      <c r="D45502" s="18">
        <v>37372</v>
      </c>
      <c r="E45502" s="7" t="s">
        <v>154</v>
      </c>
      <c r="F45502" s="18" t="s">
        <v>146</v>
      </c>
      <c r="G45502" s="21">
        <v>1</v>
      </c>
      <c r="H45502" s="18" t="s">
        <v>86</v>
      </c>
    </row>
    <row r="45503" spans="1:8">
      <c r="A45503" s="22" t="s">
        <v>178</v>
      </c>
      <c r="B45503" s="23">
        <v>88315</v>
      </c>
      <c r="C45503" s="18" t="s">
        <v>186</v>
      </c>
      <c r="D45503" s="18">
        <v>37371</v>
      </c>
      <c r="E45503" s="7" t="s">
        <v>164</v>
      </c>
      <c r="F45503" s="18" t="s">
        <v>146</v>
      </c>
      <c r="G45503" s="21">
        <v>1</v>
      </c>
      <c r="H45503" s="18" t="s">
        <v>86</v>
      </c>
    </row>
    <row r="45504" spans="1:8">
      <c r="A45504" s="22" t="s">
        <v>178</v>
      </c>
      <c r="B45504" s="23">
        <v>88315</v>
      </c>
      <c r="C45504" s="18" t="s">
        <v>186</v>
      </c>
      <c r="D45504" s="18">
        <v>37370</v>
      </c>
      <c r="E45504" s="7" t="s">
        <v>148</v>
      </c>
      <c r="F45504" s="18" t="s">
        <v>146</v>
      </c>
      <c r="G45504" s="21">
        <v>1</v>
      </c>
      <c r="H45504" s="18" t="s">
        <v>86</v>
      </c>
    </row>
    <row r="45505" spans="1:8">
      <c r="A45505" s="22" t="s">
        <v>178</v>
      </c>
      <c r="B45505" s="23">
        <v>88315</v>
      </c>
      <c r="C45505" s="18" t="s">
        <v>186</v>
      </c>
      <c r="D45505" s="18">
        <v>6110</v>
      </c>
      <c r="E45505" s="7" t="s">
        <v>162</v>
      </c>
      <c r="F45505" s="18" t="s">
        <v>146</v>
      </c>
      <c r="G45505" s="21">
        <v>1</v>
      </c>
      <c r="H45505" s="18" t="s">
        <v>86</v>
      </c>
    </row>
    <row r="45514" spans="1:8">
      <c r="A45514" s="6" t="s">
        <v>178</v>
      </c>
      <c r="B45514" s="12">
        <v>88316</v>
      </c>
      <c r="C45514" s="18"/>
      <c r="D45514" s="18"/>
      <c r="E45514" s="6" t="s">
        <v>184</v>
      </c>
      <c r="F45514" s="12" t="s">
        <v>146</v>
      </c>
      <c r="G45514" s="21"/>
      <c r="H45514" s="12" t="s">
        <v>88</v>
      </c>
    </row>
    <row r="45515" spans="1:8">
      <c r="A45515" s="22" t="s">
        <v>178</v>
      </c>
      <c r="B45515" s="23">
        <v>88316</v>
      </c>
      <c r="C45515" s="18" t="s">
        <v>185</v>
      </c>
      <c r="D45515" s="18">
        <v>95378</v>
      </c>
      <c r="E45515" s="7" t="s">
        <v>181</v>
      </c>
      <c r="F45515" s="18" t="s">
        <v>146</v>
      </c>
      <c r="G45515" s="21">
        <v>1</v>
      </c>
      <c r="H45515" s="18" t="s">
        <v>88</v>
      </c>
    </row>
    <row r="45516" spans="1:8">
      <c r="A45516" s="22" t="s">
        <v>178</v>
      </c>
      <c r="B45516" s="23">
        <v>88316</v>
      </c>
      <c r="C45516" s="18" t="s">
        <v>186</v>
      </c>
      <c r="D45516" s="18">
        <v>43491</v>
      </c>
      <c r="E45516" s="7" t="s">
        <v>153</v>
      </c>
      <c r="F45516" s="18" t="s">
        <v>146</v>
      </c>
      <c r="G45516" s="21">
        <v>1</v>
      </c>
      <c r="H45516" s="18" t="s">
        <v>86</v>
      </c>
    </row>
    <row r="45517" spans="1:8">
      <c r="A45517" s="22" t="s">
        <v>178</v>
      </c>
      <c r="B45517" s="23">
        <v>88316</v>
      </c>
      <c r="C45517" s="18" t="s">
        <v>186</v>
      </c>
      <c r="D45517" s="18">
        <v>43467</v>
      </c>
      <c r="E45517" s="7" t="s">
        <v>156</v>
      </c>
      <c r="F45517" s="18" t="s">
        <v>146</v>
      </c>
      <c r="G45517" s="21">
        <v>1</v>
      </c>
      <c r="H45517" s="18" t="s">
        <v>86</v>
      </c>
    </row>
    <row r="45518" spans="1:8">
      <c r="A45518" s="22" t="s">
        <v>178</v>
      </c>
      <c r="B45518" s="23">
        <v>88316</v>
      </c>
      <c r="C45518" s="18" t="s">
        <v>186</v>
      </c>
      <c r="D45518" s="18">
        <v>37373</v>
      </c>
      <c r="E45518" s="7" t="s">
        <v>161</v>
      </c>
      <c r="F45518" s="18" t="s">
        <v>146</v>
      </c>
      <c r="G45518" s="21">
        <v>1</v>
      </c>
      <c r="H45518" s="18" t="s">
        <v>86</v>
      </c>
    </row>
    <row r="45519" spans="1:8">
      <c r="A45519" s="22" t="s">
        <v>178</v>
      </c>
      <c r="B45519" s="23">
        <v>88316</v>
      </c>
      <c r="C45519" s="18" t="s">
        <v>186</v>
      </c>
      <c r="D45519" s="18">
        <v>37372</v>
      </c>
      <c r="E45519" s="7" t="s">
        <v>154</v>
      </c>
      <c r="F45519" s="18" t="s">
        <v>146</v>
      </c>
      <c r="G45519" s="21">
        <v>1</v>
      </c>
      <c r="H45519" s="18" t="s">
        <v>86</v>
      </c>
    </row>
    <row r="45520" spans="1:8">
      <c r="A45520" s="22" t="s">
        <v>178</v>
      </c>
      <c r="B45520" s="23">
        <v>88316</v>
      </c>
      <c r="C45520" s="18" t="s">
        <v>186</v>
      </c>
      <c r="D45520" s="18">
        <v>37371</v>
      </c>
      <c r="E45520" s="7" t="s">
        <v>164</v>
      </c>
      <c r="F45520" s="18" t="s">
        <v>146</v>
      </c>
      <c r="G45520" s="21">
        <v>1</v>
      </c>
      <c r="H45520" s="18" t="s">
        <v>86</v>
      </c>
    </row>
    <row r="45521" spans="1:8">
      <c r="A45521" s="22" t="s">
        <v>178</v>
      </c>
      <c r="B45521" s="23">
        <v>88316</v>
      </c>
      <c r="C45521" s="18" t="s">
        <v>186</v>
      </c>
      <c r="D45521" s="18">
        <v>37370</v>
      </c>
      <c r="E45521" s="7" t="s">
        <v>148</v>
      </c>
      <c r="F45521" s="18" t="s">
        <v>146</v>
      </c>
      <c r="G45521" s="21">
        <v>1</v>
      </c>
      <c r="H45521" s="18" t="s">
        <v>86</v>
      </c>
    </row>
    <row r="45522" spans="1:8">
      <c r="A45522" s="22" t="s">
        <v>178</v>
      </c>
      <c r="B45522" s="23">
        <v>88316</v>
      </c>
      <c r="C45522" s="18" t="s">
        <v>186</v>
      </c>
      <c r="D45522" s="18">
        <v>6111</v>
      </c>
      <c r="E45522" s="7" t="s">
        <v>163</v>
      </c>
      <c r="F45522" s="18" t="s">
        <v>146</v>
      </c>
      <c r="G45522" s="21">
        <v>1</v>
      </c>
      <c r="H45522" s="18" t="s">
        <v>86</v>
      </c>
    </row>
  </sheetData>
  <autoFilter ref="A10:H54688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sheetFormatPr defaultRowHeight="15"/>
  <cols>
    <col min="1" max="1" width="23.7109375" style="18" customWidth="1"/>
    <col min="2" max="2" width="13.7109375" style="18" customWidth="1"/>
    <col min="3" max="3" width="100.7109375" style="7" customWidth="1"/>
    <col min="4" max="4" width="10.7109375" style="18" customWidth="1"/>
    <col min="5" max="5" width="12.7109375" style="21" customWidth="1"/>
    <col min="6" max="7" width="11.7109375" style="19" customWidth="1"/>
    <col min="8" max="8" width="5.7109375" style="20" customWidth="1"/>
    <col min="9" max="9" width="13.7109375" style="18" customWidth="1"/>
  </cols>
  <sheetData>
    <row r="1" spans="1:9">
      <c r="A1" s="6" t="s">
        <v>0</v>
      </c>
    </row>
    <row r="2" spans="1:9">
      <c r="A2" s="7" t="s">
        <v>100</v>
      </c>
      <c r="I2" s="13" t="s">
        <v>101</v>
      </c>
    </row>
    <row r="3" spans="1:9">
      <c r="A3" s="7" t="s">
        <v>22</v>
      </c>
      <c r="B3" s="12" t="s">
        <v>23</v>
      </c>
      <c r="I3" s="13" t="s">
        <v>102</v>
      </c>
    </row>
    <row r="4" spans="1:9">
      <c r="A4" s="7" t="s">
        <v>24</v>
      </c>
      <c r="B4" s="12" t="s">
        <v>25</v>
      </c>
    </row>
    <row r="6" spans="1:9">
      <c r="A6" s="6" t="s">
        <v>103</v>
      </c>
    </row>
    <row r="7" spans="1:9">
      <c r="A7" s="12" t="s">
        <v>104</v>
      </c>
      <c r="B7" s="12" t="s">
        <v>106</v>
      </c>
      <c r="C7" s="6" t="s">
        <v>107</v>
      </c>
    </row>
    <row r="8" spans="1:9">
      <c r="A8" s="24" t="s">
        <v>105</v>
      </c>
      <c r="B8" s="24" t="s">
        <v>67</v>
      </c>
      <c r="C8" s="10">
        <v>95995</v>
      </c>
    </row>
    <row r="9" spans="1:9">
      <c r="H9" s="13" t="s">
        <v>108</v>
      </c>
    </row>
    <row r="10" spans="1:9">
      <c r="A10" s="11" t="s">
        <v>96</v>
      </c>
      <c r="B10" s="11" t="s">
        <v>97</v>
      </c>
      <c r="C10" s="11" t="s">
        <v>20</v>
      </c>
      <c r="D10" s="11" t="s">
        <v>21</v>
      </c>
      <c r="E10" s="11" t="s">
        <v>98</v>
      </c>
      <c r="F10" s="11" t="s">
        <v>109</v>
      </c>
      <c r="G10" s="11" t="s">
        <v>110</v>
      </c>
      <c r="H10" s="11" t="s">
        <v>81</v>
      </c>
      <c r="I10" s="11" t="s">
        <v>99</v>
      </c>
    </row>
    <row r="11" spans="1:9">
      <c r="A11" s="12" cm="1">
        <f t="array" ref="A11">_xlfn.XLOOKUP($C$8,'CSD'!$B:$B,'CSD'!$B:$B)</f>
        <v>0</v>
      </c>
      <c r="C11" s="6" cm="1">
        <f t="array" ref="C11">_xlfn.XLOOKUP($C$8,'CSD'!$B:$B,'CSD'!$C:$C)</f>
        <v>0</v>
      </c>
      <c r="D11" s="12" cm="1">
        <f t="array" ref="D11">_xlfn.XLOOKUP($C$8,'CSD'!$B:$B,'CSD'!$D:$D)</f>
        <v>0</v>
      </c>
      <c r="G11" s="25" cm="1">
        <f t="array" ref="G11">IF($A$8="SEM DESONERAÇÃO",_xlfn.XLOOKUP($C$8,'CSD'!$B:$B,OFFSET('CSD'!$D:$D,0,MATCH($B$8,'CSD'!$E$4:$BF$4,0))),
                                                                    IF($A$8="COM DESONERAÇÃO",_xlfn.XLOOKUP($C$8,'CCD'!$B:$B,OFFSET('CCD'!$D:$D,0,MATCH($B$8,'CCD'!$E$4:$BF$4,0))),
                                                                    IF($A$8="SEM ENCARGOS SOCIAIS",_xlfn.XLOOKUP($C$8,'CSE'!$B:$B,OFFSET('CSE'!$D:$D,0,MATCH($B$8,'CSE'!$E$9:$BF$9,0))),
                                                                    "")))</f>
        <v>0</v>
      </c>
      <c r="H11" s="26" cm="1">
        <f t="array" ref="H11">IF($A$8="SEM DESONERAÇÃO",_xlfn.XLOOKUP($C$8,'CSD'!$B:$B,OFFSET('CSD'!$D:$D,0,1+MATCH($B$8,'CSD'!$E$4:$BF$4,0))),
                                                                    IF($A$8="COM DESONERAÇÃO",_xlfn.XLOOKUP($C$8,'CCD'!$B:$B,OFFSET('CCD'!$D:$D,0,1+MATCH($B$8,'CCD'!$E$4:$BF$4,0))),
                                                                    IF($A$8="SEM ENCARGOS SOCIAIS",_xlfn.XLOOKUP($C$8,'CSE'!$B:$B,OFFSET('CSE'!$D:$D,0,1+MATCH($B$8,'CSE'!$E$9:$BF$9,0))),
                                                                    "")))</f>
        <v>0</v>
      </c>
      <c r="I11" s="12" cm="1">
        <f t="array" ref="I11">_xlfn.XLOOKUP($C$8,'Analítico'!$B:$B,'Analítico'!$H:$H)</f>
        <v>0</v>
      </c>
    </row>
    <row r="12" spans="1:9">
      <c r="A12" s="18" cm="1">
        <f t="array" ref="A12">_xlfn._xlws.FILTER(Analítico!$C:$G,(Analítico!$B:$B='Analítico com Custo'!$C$8)*(Analítico!$C:$C&lt;&gt;0))</f>
        <v>0</v>
      </c>
      <c r="F12" s="19" cm="1">
        <f t="array" ref="F12">IF($A12="","",
IF(AND($A12="INSUMO",$A$8="SEM DESONERAÇÃO"),_xlfn.LET(_xlpm.linha_insumo,MATCH($B12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_xlpm.preco_regional_as,INDEX($M:$M,MATCH($B12&amp;"_"&amp;$B$8,$K:$K,0)),
IF(ISERROR(_xlpm.linha_insumo),0,IF(_xlpm.preco_uf&lt;&gt;0,_xlpm.preco_uf,IF(ISNUMBER(_xlpm.preco_regional_as),_xlpm.preco_regional_as,_xlpm.preco_sp)))),
IF(AND($A12="INSUMO",$A$8="COM DESONERAÇÃO"),_xlfn.LET(_xlpm.linha_insumo,MATCH($B12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_xlpm.preco_regional_as,INDEX($N:$N,MATCH($B12&amp;"_"&amp;$B$8,$K:$K,0)),
IF(ISERROR(_xlpm.linha_insumo),0,IF(_xlpm.preco_uf&lt;&gt;0,_xlpm.preco_uf,IF(ISNUMBER(_xlpm.preco_regional_as),_xlpm.preco_regional_as,_xlpm.preco_sp)))),
IF(AND($A12="INSUMO",$A$8="SEM ENCARGOS SOCIAIS"),_xlfn.LET(_xlpm.linha_insumo,MATCH($B12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_xlpm.preco_regional_as,INDEX($L:$L,MATCH($B12&amp;"_"&amp;$B$8,$K:$K,0)),
IF(ISERROR(_xlpm.linha_insumo),0,IF(_xlpm.preco_uf&lt;&gt;0,_xlpm.preco_uf,IF(ISNUMBER(_xlpm.preco_regional_as),_xlpm.preco_regional_as,_xlpm.preco_sp)))),
IF(AND($A12="COMPOSICAO",$A$8="SEM DESONERAÇÃO"),_xlfn.XLOOKUP($B12,'CSD'!B:B,OFFSET('CSD'!$D:$D,0,MATCH($B$8,'CSD'!$E$4:$BF$4,0)),0),
IF(AND($A12="COMPOSICAO",$A$8="COM DESONERAÇÃO"),_xlfn.XLOOKUP($B12,'CCD'!B:B,OFFSET('CCD'!$D:$D,0,MATCH($B$8,'CCD'!$E$4:$BF$4,0)),0),
IF(AND($A12="COMPOSICAO",$A$8="SEM ENCARGOS SOCIAIS"),_xlfn.XLOOKUP($B12,'CSE'!B:B,OFFSET('CSE'!$D:$D,0,MATCH($B$8,'CSE'!$E$9:$BF$9,0)),0),""
)))))))</f>
        <v>0</v>
      </c>
      <c r="G12" s="19">
        <f>IF($A12="","",TRUNC(E12*F12,2))</f>
        <v>0</v>
      </c>
      <c r="H12" s="20" cm="1">
        <f t="array" ref="H12">IF($A12="","",
IF(AND($A12="INSUMO",$A$8="SEM DESONERAÇÃO"),_xlfn.LET(_xlpm.linha_insumo,MATCH($B12,'ISD'!$B:$B,0),_xlpm.coluna_uf,MATCH($B$8,'ISD'!$F$4:$AF$4,0),_xlpm.preco_uf,INDEX('ISD'!$F:$AF,_xlpm.linha_insumo,_xlpm.coluna_uf),IF(ISERROR(_xlpm.linha_insumo),"",IF(_xlpm.preco_uf&lt;&gt;0,0%,100%))),
IF(AND($A12="INSUMO",$A$8="COM DESONERAÇÃO"),_xlfn.LET(_xlpm.linha_insumo,MATCH($B12,'ICD'!$B:$B,0),_xlpm.coluna_uf,MATCH($B$8,'ICD'!$F$4:$AF$4,0),_xlpm.preco_uf,INDEX('ICD'!$F:$AF,_xlpm.linha_insumo,_xlpm.coluna_uf),IF(ISERROR(_xlpm.linha_insumo),"",IF(_xlpm.preco_uf&lt;&gt;0,0%,100%))),
IF(AND($A12="INSUMO",$A$8="SEM ENCARGOS SOCIAIS"),_xlfn.LET(_xlpm.linha_insumo,MATCH($B12,'ISE'!$B:$B,0),_xlpm.coluna_uf,MATCH($B$8,'ISE'!$F$10:$AF$10,0),_xlpm.preco_uf,INDEX('ISE'!$F:$AF,_xlpm.linha_insumo,_xlpm.coluna_uf),IF(ISERROR(_xlpm.linha_insumo),"",IF(_xlpm.preco_uf&lt;&gt;0,0%,100%))),
IF(AND($A12="COMPOSICAO",$A$8="SEM DESONERAÇÃO"),_xlfn.XLOOKUP($B12,'CSD'!B:B,OFFSET('CSD'!$D:$D,0,1+MATCH($B$8,'CSD'!$E$4:$BF$4,0)),0),
IF(AND($A12="COMPOSICAO",$A$8="COM DESONERAÇÃO"),_xlfn.XLOOKUP($B12,'CCD'!B:B,OFFSET('CCD'!$D:$D,0,1+MATCH($B$8,'CCD'!$E$4:$BF$4,0)),0),
IF(AND($A12="COMPOSICAO",$A$8="SEM ENCARGOS SOCIAIS"),_xlfn.XLOOKUP($B12,'CSE'!B:B,OFFSET('CSE'!$D:$D,0,1+MATCH($B$8,'CSE'!$E$9:$BF$9,0)),0),""
)))))))</f>
        <v>0</v>
      </c>
      <c r="I12" s="18" cm="1">
        <f t="array" ref="I12">_xlfn._xlws.FILTER(Analítico!$H:$H,(Analítico!$B:$B='Analítico com Custo'!$C$8)*(Analítico!$C:$C&lt;&gt;0))</f>
        <v>0</v>
      </c>
    </row>
    <row r="13" spans="1:9">
      <c r="F13" s="19" cm="1">
        <f t="array" ref="F13">IF($A13="","",
IF(AND($A13="INSUMO",$A$8="SEM DESONERAÇÃO"),_xlfn.LET(_xlpm.linha_insumo,MATCH($B13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_xlpm.preco_regional_as,INDEX($M:$M,MATCH($B13&amp;"_"&amp;$B$8,$K:$K,0)),
IF(ISERROR(_xlpm.linha_insumo),0,IF(_xlpm.preco_uf&lt;&gt;0,_xlpm.preco_uf,IF(ISNUMBER(_xlpm.preco_regional_as),_xlpm.preco_regional_as,_xlpm.preco_sp)))),
IF(AND($A13="INSUMO",$A$8="COM DESONERAÇÃO"),_xlfn.LET(_xlpm.linha_insumo,MATCH($B13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_xlpm.preco_regional_as,INDEX($N:$N,MATCH($B13&amp;"_"&amp;$B$8,$K:$K,0)),
IF(ISERROR(_xlpm.linha_insumo),0,IF(_xlpm.preco_uf&lt;&gt;0,_xlpm.preco_uf,IF(ISNUMBER(_xlpm.preco_regional_as),_xlpm.preco_regional_as,_xlpm.preco_sp)))),
IF(AND($A13="INSUMO",$A$8="SEM ENCARGOS SOCIAIS"),_xlfn.LET(_xlpm.linha_insumo,MATCH($B13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_xlpm.preco_regional_as,INDEX($L:$L,MATCH($B13&amp;"_"&amp;$B$8,$K:$K,0)),
IF(ISERROR(_xlpm.linha_insumo),0,IF(_xlpm.preco_uf&lt;&gt;0,_xlpm.preco_uf,IF(ISNUMBER(_xlpm.preco_regional_as),_xlpm.preco_regional_as,_xlpm.preco_sp)))),
IF(AND($A13="COMPOSICAO",$A$8="SEM DESONERAÇÃO"),_xlfn.XLOOKUP($B13,'CSD'!B:B,OFFSET('CSD'!$D:$D,0,MATCH($B$8,'CSD'!$E$4:$BF$4,0)),0),
IF(AND($A13="COMPOSICAO",$A$8="COM DESONERAÇÃO"),_xlfn.XLOOKUP($B13,'CCD'!B:B,OFFSET('CCD'!$D:$D,0,MATCH($B$8,'CCD'!$E$4:$BF$4,0)),0),
IF(AND($A13="COMPOSICAO",$A$8="SEM ENCARGOS SOCIAIS"),_xlfn.XLOOKUP($B13,'CSE'!B:B,OFFSET('CSE'!$D:$D,0,MATCH($B$8,'CSE'!$E$9:$BF$9,0)),0),""
)))))))</f>
        <v>0</v>
      </c>
      <c r="G13" s="19">
        <f>IF($A13="","",TRUNC(E13*F13,2))</f>
        <v>0</v>
      </c>
      <c r="H13" s="20" cm="1">
        <f t="array" ref="H13">IF($A13="","",
IF(AND($A13="INSUMO",$A$8="SEM DESONERAÇÃO"),_xlfn.LET(_xlpm.linha_insumo,MATCH($B13,'ISD'!$B:$B,0),_xlpm.coluna_uf,MATCH($B$8,'ISD'!$F$4:$AF$4,0),_xlpm.preco_uf,INDEX('ISD'!$F:$AF,_xlpm.linha_insumo,_xlpm.coluna_uf),IF(ISERROR(_xlpm.linha_insumo),"",IF(_xlpm.preco_uf&lt;&gt;0,0%,100%))),
IF(AND($A13="INSUMO",$A$8="COM DESONERAÇÃO"),_xlfn.LET(_xlpm.linha_insumo,MATCH($B13,'ICD'!$B:$B,0),_xlpm.coluna_uf,MATCH($B$8,'ICD'!$F$4:$AF$4,0),_xlpm.preco_uf,INDEX('ICD'!$F:$AF,_xlpm.linha_insumo,_xlpm.coluna_uf),IF(ISERROR(_xlpm.linha_insumo),"",IF(_xlpm.preco_uf&lt;&gt;0,0%,100%))),
IF(AND($A13="INSUMO",$A$8="SEM ENCARGOS SOCIAIS"),_xlfn.LET(_xlpm.linha_insumo,MATCH($B13,'ISE'!$B:$B,0),_xlpm.coluna_uf,MATCH($B$8,'ISE'!$F$10:$AF$10,0),_xlpm.preco_uf,INDEX('ISE'!$F:$AF,_xlpm.linha_insumo,_xlpm.coluna_uf),IF(ISERROR(_xlpm.linha_insumo),"",IF(_xlpm.preco_uf&lt;&gt;0,0%,100%))),
IF(AND($A13="COMPOSICAO",$A$8="SEM DESONERAÇÃO"),_xlfn.XLOOKUP($B13,'CSD'!B:B,OFFSET('CSD'!$D:$D,0,1+MATCH($B$8,'CSD'!$E$4:$BF$4,0)),0),
IF(AND($A13="COMPOSICAO",$A$8="COM DESONERAÇÃO"),_xlfn.XLOOKUP($B13,'CCD'!B:B,OFFSET('CCD'!$D:$D,0,1+MATCH($B$8,'CCD'!$E$4:$BF$4,0)),0),
IF(AND($A13="COMPOSICAO",$A$8="SEM ENCARGOS SOCIAIS"),_xlfn.XLOOKUP($B13,'CSE'!B:B,OFFSET('CSE'!$D:$D,0,1+MATCH($B$8,'CSE'!$E$9:$BF$9,0)),0),""
)))))))</f>
        <v>0</v>
      </c>
    </row>
    <row r="14" spans="1:9">
      <c r="F14" s="19" cm="1">
        <f t="array" ref="F14">IF($A14="","",
IF(AND($A14="INSUMO",$A$8="SEM DESONERAÇÃO"),_xlfn.LET(_xlpm.linha_insumo,MATCH($B14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_xlpm.preco_regional_as,INDEX($M:$M,MATCH($B14&amp;"_"&amp;$B$8,$K:$K,0)),
IF(ISERROR(_xlpm.linha_insumo),0,IF(_xlpm.preco_uf&lt;&gt;0,_xlpm.preco_uf,IF(ISNUMBER(_xlpm.preco_regional_as),_xlpm.preco_regional_as,_xlpm.preco_sp)))),
IF(AND($A14="INSUMO",$A$8="COM DESONERAÇÃO"),_xlfn.LET(_xlpm.linha_insumo,MATCH($B14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_xlpm.preco_regional_as,INDEX($N:$N,MATCH($B14&amp;"_"&amp;$B$8,$K:$K,0)),
IF(ISERROR(_xlpm.linha_insumo),0,IF(_xlpm.preco_uf&lt;&gt;0,_xlpm.preco_uf,IF(ISNUMBER(_xlpm.preco_regional_as),_xlpm.preco_regional_as,_xlpm.preco_sp)))),
IF(AND($A14="INSUMO",$A$8="SEM ENCARGOS SOCIAIS"),_xlfn.LET(_xlpm.linha_insumo,MATCH($B14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_xlpm.preco_regional_as,INDEX($L:$L,MATCH($B14&amp;"_"&amp;$B$8,$K:$K,0)),
IF(ISERROR(_xlpm.linha_insumo),0,IF(_xlpm.preco_uf&lt;&gt;0,_xlpm.preco_uf,IF(ISNUMBER(_xlpm.preco_regional_as),_xlpm.preco_regional_as,_xlpm.preco_sp)))),
IF(AND($A14="COMPOSICAO",$A$8="SEM DESONERAÇÃO"),_xlfn.XLOOKUP($B14,'CSD'!B:B,OFFSET('CSD'!$D:$D,0,MATCH($B$8,'CSD'!$E$4:$BF$4,0)),0),
IF(AND($A14="COMPOSICAO",$A$8="COM DESONERAÇÃO"),_xlfn.XLOOKUP($B14,'CCD'!B:B,OFFSET('CCD'!$D:$D,0,MATCH($B$8,'CCD'!$E$4:$BF$4,0)),0),
IF(AND($A14="COMPOSICAO",$A$8="SEM ENCARGOS SOCIAIS"),_xlfn.XLOOKUP($B14,'CSE'!B:B,OFFSET('CSE'!$D:$D,0,MATCH($B$8,'CSE'!$E$9:$BF$9,0)),0),""
)))))))</f>
        <v>0</v>
      </c>
      <c r="G14" s="19">
        <f>IF($A14="","",TRUNC(E14*F14,2))</f>
        <v>0</v>
      </c>
      <c r="H14" s="20" cm="1">
        <f t="array" ref="H14">IF($A14="","",
IF(AND($A14="INSUMO",$A$8="SEM DESONERAÇÃO"),_xlfn.LET(_xlpm.linha_insumo,MATCH($B14,'ISD'!$B:$B,0),_xlpm.coluna_uf,MATCH($B$8,'ISD'!$F$4:$AF$4,0),_xlpm.preco_uf,INDEX('ISD'!$F:$AF,_xlpm.linha_insumo,_xlpm.coluna_uf),IF(ISERROR(_xlpm.linha_insumo),"",IF(_xlpm.preco_uf&lt;&gt;0,0%,100%))),
IF(AND($A14="INSUMO",$A$8="COM DESONERAÇÃO"),_xlfn.LET(_xlpm.linha_insumo,MATCH($B14,'ICD'!$B:$B,0),_xlpm.coluna_uf,MATCH($B$8,'ICD'!$F$4:$AF$4,0),_xlpm.preco_uf,INDEX('ICD'!$F:$AF,_xlpm.linha_insumo,_xlpm.coluna_uf),IF(ISERROR(_xlpm.linha_insumo),"",IF(_xlpm.preco_uf&lt;&gt;0,0%,100%))),
IF(AND($A14="INSUMO",$A$8="SEM ENCARGOS SOCIAIS"),_xlfn.LET(_xlpm.linha_insumo,MATCH($B14,'ISE'!$B:$B,0),_xlpm.coluna_uf,MATCH($B$8,'ISE'!$F$10:$AF$10,0),_xlpm.preco_uf,INDEX('ISE'!$F:$AF,_xlpm.linha_insumo,_xlpm.coluna_uf),IF(ISERROR(_xlpm.linha_insumo),"",IF(_xlpm.preco_uf&lt;&gt;0,0%,100%))),
IF(AND($A14="COMPOSICAO",$A$8="SEM DESONERAÇÃO"),_xlfn.XLOOKUP($B14,'CSD'!B:B,OFFSET('CSD'!$D:$D,0,1+MATCH($B$8,'CSD'!$E$4:$BF$4,0)),0),
IF(AND($A14="COMPOSICAO",$A$8="COM DESONERAÇÃO"),_xlfn.XLOOKUP($B14,'CCD'!B:B,OFFSET('CCD'!$D:$D,0,1+MATCH($B$8,'CCD'!$E$4:$BF$4,0)),0),
IF(AND($A14="COMPOSICAO",$A$8="SEM ENCARGOS SOCIAIS"),_xlfn.XLOOKUP($B14,'CSE'!B:B,OFFSET('CSE'!$D:$D,0,1+MATCH($B$8,'CSE'!$E$9:$BF$9,0)),0),""
)))))))</f>
        <v>0</v>
      </c>
    </row>
    <row r="15" spans="1:9">
      <c r="F15" s="19" cm="1">
        <f t="array" ref="F15">IF($A15="","",
IF(AND($A15="INSUMO",$A$8="SEM DESONERAÇÃO"),_xlfn.LET(_xlpm.linha_insumo,MATCH($B15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_xlpm.preco_regional_as,INDEX($M:$M,MATCH($B15&amp;"_"&amp;$B$8,$K:$K,0)),
IF(ISERROR(_xlpm.linha_insumo),0,IF(_xlpm.preco_uf&lt;&gt;0,_xlpm.preco_uf,IF(ISNUMBER(_xlpm.preco_regional_as),_xlpm.preco_regional_as,_xlpm.preco_sp)))),
IF(AND($A15="INSUMO",$A$8="COM DESONERAÇÃO"),_xlfn.LET(_xlpm.linha_insumo,MATCH($B15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_xlpm.preco_regional_as,INDEX($N:$N,MATCH($B15&amp;"_"&amp;$B$8,$K:$K,0)),
IF(ISERROR(_xlpm.linha_insumo),0,IF(_xlpm.preco_uf&lt;&gt;0,_xlpm.preco_uf,IF(ISNUMBER(_xlpm.preco_regional_as),_xlpm.preco_regional_as,_xlpm.preco_sp)))),
IF(AND($A15="INSUMO",$A$8="SEM ENCARGOS SOCIAIS"),_xlfn.LET(_xlpm.linha_insumo,MATCH($B15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_xlpm.preco_regional_as,INDEX($L:$L,MATCH($B15&amp;"_"&amp;$B$8,$K:$K,0)),
IF(ISERROR(_xlpm.linha_insumo),0,IF(_xlpm.preco_uf&lt;&gt;0,_xlpm.preco_uf,IF(ISNUMBER(_xlpm.preco_regional_as),_xlpm.preco_regional_as,_xlpm.preco_sp)))),
IF(AND($A15="COMPOSICAO",$A$8="SEM DESONERAÇÃO"),_xlfn.XLOOKUP($B15,'CSD'!B:B,OFFSET('CSD'!$D:$D,0,MATCH($B$8,'CSD'!$E$4:$BF$4,0)),0),
IF(AND($A15="COMPOSICAO",$A$8="COM DESONERAÇÃO"),_xlfn.XLOOKUP($B15,'CCD'!B:B,OFFSET('CCD'!$D:$D,0,MATCH($B$8,'CCD'!$E$4:$BF$4,0)),0),
IF(AND($A15="COMPOSICAO",$A$8="SEM ENCARGOS SOCIAIS"),_xlfn.XLOOKUP($B15,'CSE'!B:B,OFFSET('CSE'!$D:$D,0,MATCH($B$8,'CSE'!$E$9:$BF$9,0)),0),""
)))))))</f>
        <v>0</v>
      </c>
      <c r="G15" s="19">
        <f>IF($A15="","",TRUNC(E15*F15,2))</f>
        <v>0</v>
      </c>
      <c r="H15" s="20" cm="1">
        <f t="array" ref="H15">IF($A15="","",
IF(AND($A15="INSUMO",$A$8="SEM DESONERAÇÃO"),_xlfn.LET(_xlpm.linha_insumo,MATCH($B15,'ISD'!$B:$B,0),_xlpm.coluna_uf,MATCH($B$8,'ISD'!$F$4:$AF$4,0),_xlpm.preco_uf,INDEX('ISD'!$F:$AF,_xlpm.linha_insumo,_xlpm.coluna_uf),IF(ISERROR(_xlpm.linha_insumo),"",IF(_xlpm.preco_uf&lt;&gt;0,0%,100%))),
IF(AND($A15="INSUMO",$A$8="COM DESONERAÇÃO"),_xlfn.LET(_xlpm.linha_insumo,MATCH($B15,'ICD'!$B:$B,0),_xlpm.coluna_uf,MATCH($B$8,'ICD'!$F$4:$AF$4,0),_xlpm.preco_uf,INDEX('ICD'!$F:$AF,_xlpm.linha_insumo,_xlpm.coluna_uf),IF(ISERROR(_xlpm.linha_insumo),"",IF(_xlpm.preco_uf&lt;&gt;0,0%,100%))),
IF(AND($A15="INSUMO",$A$8="SEM ENCARGOS SOCIAIS"),_xlfn.LET(_xlpm.linha_insumo,MATCH($B15,'ISE'!$B:$B,0),_xlpm.coluna_uf,MATCH($B$8,'ISE'!$F$10:$AF$10,0),_xlpm.preco_uf,INDEX('ISE'!$F:$AF,_xlpm.linha_insumo,_xlpm.coluna_uf),IF(ISERROR(_xlpm.linha_insumo),"",IF(_xlpm.preco_uf&lt;&gt;0,0%,100%))),
IF(AND($A15="COMPOSICAO",$A$8="SEM DESONERAÇÃO"),_xlfn.XLOOKUP($B15,'CSD'!B:B,OFFSET('CSD'!$D:$D,0,1+MATCH($B$8,'CSD'!$E$4:$BF$4,0)),0),
IF(AND($A15="COMPOSICAO",$A$8="COM DESONERAÇÃO"),_xlfn.XLOOKUP($B15,'CCD'!B:B,OFFSET('CCD'!$D:$D,0,1+MATCH($B$8,'CCD'!$E$4:$BF$4,0)),0),
IF(AND($A15="COMPOSICAO",$A$8="SEM ENCARGOS SOCIAIS"),_xlfn.XLOOKUP($B15,'CSE'!B:B,OFFSET('CSE'!$D:$D,0,1+MATCH($B$8,'CSE'!$E$9:$BF$9,0)),0),""
)))))))</f>
        <v>0</v>
      </c>
    </row>
    <row r="16" spans="1:9">
      <c r="F16" s="19" cm="1">
        <f t="array" ref="F16">IF($A16="","",
IF(AND($A16="INSUMO",$A$8="SEM DESONERAÇÃO"),_xlfn.LET(_xlpm.linha_insumo,MATCH($B16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_xlpm.preco_regional_as,INDEX($M:$M,MATCH($B16&amp;"_"&amp;$B$8,$K:$K,0)),
IF(ISERROR(_xlpm.linha_insumo),0,IF(_xlpm.preco_uf&lt;&gt;0,_xlpm.preco_uf,IF(ISNUMBER(_xlpm.preco_regional_as),_xlpm.preco_regional_as,_xlpm.preco_sp)))),
IF(AND($A16="INSUMO",$A$8="COM DESONERAÇÃO"),_xlfn.LET(_xlpm.linha_insumo,MATCH($B16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_xlpm.preco_regional_as,INDEX($N:$N,MATCH($B16&amp;"_"&amp;$B$8,$K:$K,0)),
IF(ISERROR(_xlpm.linha_insumo),0,IF(_xlpm.preco_uf&lt;&gt;0,_xlpm.preco_uf,IF(ISNUMBER(_xlpm.preco_regional_as),_xlpm.preco_regional_as,_xlpm.preco_sp)))),
IF(AND($A16="INSUMO",$A$8="SEM ENCARGOS SOCIAIS"),_xlfn.LET(_xlpm.linha_insumo,MATCH($B16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_xlpm.preco_regional_as,INDEX($L:$L,MATCH($B16&amp;"_"&amp;$B$8,$K:$K,0)),
IF(ISERROR(_xlpm.linha_insumo),0,IF(_xlpm.preco_uf&lt;&gt;0,_xlpm.preco_uf,IF(ISNUMBER(_xlpm.preco_regional_as),_xlpm.preco_regional_as,_xlpm.preco_sp)))),
IF(AND($A16="COMPOSICAO",$A$8="SEM DESONERAÇÃO"),_xlfn.XLOOKUP($B16,'CSD'!B:B,OFFSET('CSD'!$D:$D,0,MATCH($B$8,'CSD'!$E$4:$BF$4,0)),0),
IF(AND($A16="COMPOSICAO",$A$8="COM DESONERAÇÃO"),_xlfn.XLOOKUP($B16,'CCD'!B:B,OFFSET('CCD'!$D:$D,0,MATCH($B$8,'CCD'!$E$4:$BF$4,0)),0),
IF(AND($A16="COMPOSICAO",$A$8="SEM ENCARGOS SOCIAIS"),_xlfn.XLOOKUP($B16,'CSE'!B:B,OFFSET('CSE'!$D:$D,0,MATCH($B$8,'CSE'!$E$9:$BF$9,0)),0),""
)))))))</f>
        <v>0</v>
      </c>
      <c r="G16" s="19">
        <f>IF($A16="","",TRUNC(E16*F16,2))</f>
        <v>0</v>
      </c>
      <c r="H16" s="20" cm="1">
        <f t="array" ref="H16">IF($A16="","",
IF(AND($A16="INSUMO",$A$8="SEM DESONERAÇÃO"),_xlfn.LET(_xlpm.linha_insumo,MATCH($B16,'ISD'!$B:$B,0),_xlpm.coluna_uf,MATCH($B$8,'ISD'!$F$4:$AF$4,0),_xlpm.preco_uf,INDEX('ISD'!$F:$AF,_xlpm.linha_insumo,_xlpm.coluna_uf),IF(ISERROR(_xlpm.linha_insumo),"",IF(_xlpm.preco_uf&lt;&gt;0,0%,100%))),
IF(AND($A16="INSUMO",$A$8="COM DESONERAÇÃO"),_xlfn.LET(_xlpm.linha_insumo,MATCH($B16,'ICD'!$B:$B,0),_xlpm.coluna_uf,MATCH($B$8,'ICD'!$F$4:$AF$4,0),_xlpm.preco_uf,INDEX('ICD'!$F:$AF,_xlpm.linha_insumo,_xlpm.coluna_uf),IF(ISERROR(_xlpm.linha_insumo),"",IF(_xlpm.preco_uf&lt;&gt;0,0%,100%))),
IF(AND($A16="INSUMO",$A$8="SEM ENCARGOS SOCIAIS"),_xlfn.LET(_xlpm.linha_insumo,MATCH($B16,'ISE'!$B:$B,0),_xlpm.coluna_uf,MATCH($B$8,'ISE'!$F$10:$AF$10,0),_xlpm.preco_uf,INDEX('ISE'!$F:$AF,_xlpm.linha_insumo,_xlpm.coluna_uf),IF(ISERROR(_xlpm.linha_insumo),"",IF(_xlpm.preco_uf&lt;&gt;0,0%,100%))),
IF(AND($A16="COMPOSICAO",$A$8="SEM DESONERAÇÃO"),_xlfn.XLOOKUP($B16,'CSD'!B:B,OFFSET('CSD'!$D:$D,0,1+MATCH($B$8,'CSD'!$E$4:$BF$4,0)),0),
IF(AND($A16="COMPOSICAO",$A$8="COM DESONERAÇÃO"),_xlfn.XLOOKUP($B16,'CCD'!B:B,OFFSET('CCD'!$D:$D,0,1+MATCH($B$8,'CCD'!$E$4:$BF$4,0)),0),
IF(AND($A16="COMPOSICAO",$A$8="SEM ENCARGOS SOCIAIS"),_xlfn.XLOOKUP($B16,'CSE'!B:B,OFFSET('CSE'!$D:$D,0,1+MATCH($B$8,'CSE'!$E$9:$BF$9,0)),0),""
)))))))</f>
        <v>0</v>
      </c>
    </row>
    <row r="17" spans="6:8">
      <c r="F17" s="19" cm="1">
        <f t="array" ref="F17">IF($A17="","",
IF(AND($A17="INSUMO",$A$8="SEM DESONERAÇÃO"),_xlfn.LET(_xlpm.linha_insumo,MATCH($B17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_xlpm.preco_regional_as,INDEX($M:$M,MATCH($B17&amp;"_"&amp;$B$8,$K:$K,0)),
IF(ISERROR(_xlpm.linha_insumo),0,IF(_xlpm.preco_uf&lt;&gt;0,_xlpm.preco_uf,IF(ISNUMBER(_xlpm.preco_regional_as),_xlpm.preco_regional_as,_xlpm.preco_sp)))),
IF(AND($A17="INSUMO",$A$8="COM DESONERAÇÃO"),_xlfn.LET(_xlpm.linha_insumo,MATCH($B17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_xlpm.preco_regional_as,INDEX($N:$N,MATCH($B17&amp;"_"&amp;$B$8,$K:$K,0)),
IF(ISERROR(_xlpm.linha_insumo),0,IF(_xlpm.preco_uf&lt;&gt;0,_xlpm.preco_uf,IF(ISNUMBER(_xlpm.preco_regional_as),_xlpm.preco_regional_as,_xlpm.preco_sp)))),
IF(AND($A17="INSUMO",$A$8="SEM ENCARGOS SOCIAIS"),_xlfn.LET(_xlpm.linha_insumo,MATCH($B17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_xlpm.preco_regional_as,INDEX($L:$L,MATCH($B17&amp;"_"&amp;$B$8,$K:$K,0)),
IF(ISERROR(_xlpm.linha_insumo),0,IF(_xlpm.preco_uf&lt;&gt;0,_xlpm.preco_uf,IF(ISNUMBER(_xlpm.preco_regional_as),_xlpm.preco_regional_as,_xlpm.preco_sp)))),
IF(AND($A17="COMPOSICAO",$A$8="SEM DESONERAÇÃO"),_xlfn.XLOOKUP($B17,'CSD'!B:B,OFFSET('CSD'!$D:$D,0,MATCH($B$8,'CSD'!$E$4:$BF$4,0)),0),
IF(AND($A17="COMPOSICAO",$A$8="COM DESONERAÇÃO"),_xlfn.XLOOKUP($B17,'CCD'!B:B,OFFSET('CCD'!$D:$D,0,MATCH($B$8,'CCD'!$E$4:$BF$4,0)),0),
IF(AND($A17="COMPOSICAO",$A$8="SEM ENCARGOS SOCIAIS"),_xlfn.XLOOKUP($B17,'CSE'!B:B,OFFSET('CSE'!$D:$D,0,MATCH($B$8,'CSE'!$E$9:$BF$9,0)),0),""
)))))))</f>
        <v>0</v>
      </c>
      <c r="G17" s="19">
        <f>IF($A17="","",TRUNC(E17*F17,2))</f>
        <v>0</v>
      </c>
      <c r="H17" s="20" cm="1">
        <f t="array" ref="H17">IF($A17="","",
IF(AND($A17="INSUMO",$A$8="SEM DESONERAÇÃO"),_xlfn.LET(_xlpm.linha_insumo,MATCH($B17,'ISD'!$B:$B,0),_xlpm.coluna_uf,MATCH($B$8,'ISD'!$F$4:$AF$4,0),_xlpm.preco_uf,INDEX('ISD'!$F:$AF,_xlpm.linha_insumo,_xlpm.coluna_uf),IF(ISERROR(_xlpm.linha_insumo),"",IF(_xlpm.preco_uf&lt;&gt;0,0%,100%))),
IF(AND($A17="INSUMO",$A$8="COM DESONERAÇÃO"),_xlfn.LET(_xlpm.linha_insumo,MATCH($B17,'ICD'!$B:$B,0),_xlpm.coluna_uf,MATCH($B$8,'ICD'!$F$4:$AF$4,0),_xlpm.preco_uf,INDEX('ICD'!$F:$AF,_xlpm.linha_insumo,_xlpm.coluna_uf),IF(ISERROR(_xlpm.linha_insumo),"",IF(_xlpm.preco_uf&lt;&gt;0,0%,100%))),
IF(AND($A17="INSUMO",$A$8="SEM ENCARGOS SOCIAIS"),_xlfn.LET(_xlpm.linha_insumo,MATCH($B17,'ISE'!$B:$B,0),_xlpm.coluna_uf,MATCH($B$8,'ISE'!$F$10:$AF$10,0),_xlpm.preco_uf,INDEX('ISE'!$F:$AF,_xlpm.linha_insumo,_xlpm.coluna_uf),IF(ISERROR(_xlpm.linha_insumo),"",IF(_xlpm.preco_uf&lt;&gt;0,0%,100%))),
IF(AND($A17="COMPOSICAO",$A$8="SEM DESONERAÇÃO"),_xlfn.XLOOKUP($B17,'CSD'!B:B,OFFSET('CSD'!$D:$D,0,1+MATCH($B$8,'CSD'!$E$4:$BF$4,0)),0),
IF(AND($A17="COMPOSICAO",$A$8="COM DESONERAÇÃO"),_xlfn.XLOOKUP($B17,'CCD'!B:B,OFFSET('CCD'!$D:$D,0,1+MATCH($B$8,'CCD'!$E$4:$BF$4,0)),0),
IF(AND($A17="COMPOSICAO",$A$8="SEM ENCARGOS SOCIAIS"),_xlfn.XLOOKUP($B17,'CSE'!B:B,OFFSET('CSE'!$D:$D,0,1+MATCH($B$8,'CSE'!$E$9:$BF$9,0)),0),""
)))))))</f>
        <v>0</v>
      </c>
    </row>
    <row r="18" spans="6:8">
      <c r="F18" s="19" cm="1">
        <f t="array" ref="F18">IF($A18="","",
IF(AND($A18="INSUMO",$A$8="SEM DESONERAÇÃO"),_xlfn.LET(_xlpm.linha_insumo,MATCH($B18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_xlpm.preco_regional_as,INDEX($M:$M,MATCH($B18&amp;"_"&amp;$B$8,$K:$K,0)),
IF(ISERROR(_xlpm.linha_insumo),0,IF(_xlpm.preco_uf&lt;&gt;0,_xlpm.preco_uf,IF(ISNUMBER(_xlpm.preco_regional_as),_xlpm.preco_regional_as,_xlpm.preco_sp)))),
IF(AND($A18="INSUMO",$A$8="COM DESONERAÇÃO"),_xlfn.LET(_xlpm.linha_insumo,MATCH($B18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_xlpm.preco_regional_as,INDEX($N:$N,MATCH($B18&amp;"_"&amp;$B$8,$K:$K,0)),
IF(ISERROR(_xlpm.linha_insumo),0,IF(_xlpm.preco_uf&lt;&gt;0,_xlpm.preco_uf,IF(ISNUMBER(_xlpm.preco_regional_as),_xlpm.preco_regional_as,_xlpm.preco_sp)))),
IF(AND($A18="INSUMO",$A$8="SEM ENCARGOS SOCIAIS"),_xlfn.LET(_xlpm.linha_insumo,MATCH($B18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_xlpm.preco_regional_as,INDEX($L:$L,MATCH($B18&amp;"_"&amp;$B$8,$K:$K,0)),
IF(ISERROR(_xlpm.linha_insumo),0,IF(_xlpm.preco_uf&lt;&gt;0,_xlpm.preco_uf,IF(ISNUMBER(_xlpm.preco_regional_as),_xlpm.preco_regional_as,_xlpm.preco_sp)))),
IF(AND($A18="COMPOSICAO",$A$8="SEM DESONERAÇÃO"),_xlfn.XLOOKUP($B18,'CSD'!B:B,OFFSET('CSD'!$D:$D,0,MATCH($B$8,'CSD'!$E$4:$BF$4,0)),0),
IF(AND($A18="COMPOSICAO",$A$8="COM DESONERAÇÃO"),_xlfn.XLOOKUP($B18,'CCD'!B:B,OFFSET('CCD'!$D:$D,0,MATCH($B$8,'CCD'!$E$4:$BF$4,0)),0),
IF(AND($A18="COMPOSICAO",$A$8="SEM ENCARGOS SOCIAIS"),_xlfn.XLOOKUP($B18,'CSE'!B:B,OFFSET('CSE'!$D:$D,0,MATCH($B$8,'CSE'!$E$9:$BF$9,0)),0),""
)))))))</f>
        <v>0</v>
      </c>
      <c r="G18" s="19">
        <f>IF($A18="","",TRUNC(E18*F18,2))</f>
        <v>0</v>
      </c>
      <c r="H18" s="20" cm="1">
        <f t="array" ref="H18">IF($A18="","",
IF(AND($A18="INSUMO",$A$8="SEM DESONERAÇÃO"),_xlfn.LET(_xlpm.linha_insumo,MATCH($B18,'ISD'!$B:$B,0),_xlpm.coluna_uf,MATCH($B$8,'ISD'!$F$4:$AF$4,0),_xlpm.preco_uf,INDEX('ISD'!$F:$AF,_xlpm.linha_insumo,_xlpm.coluna_uf),IF(ISERROR(_xlpm.linha_insumo),"",IF(_xlpm.preco_uf&lt;&gt;0,0%,100%))),
IF(AND($A18="INSUMO",$A$8="COM DESONERAÇÃO"),_xlfn.LET(_xlpm.linha_insumo,MATCH($B18,'ICD'!$B:$B,0),_xlpm.coluna_uf,MATCH($B$8,'ICD'!$F$4:$AF$4,0),_xlpm.preco_uf,INDEX('ICD'!$F:$AF,_xlpm.linha_insumo,_xlpm.coluna_uf),IF(ISERROR(_xlpm.linha_insumo),"",IF(_xlpm.preco_uf&lt;&gt;0,0%,100%))),
IF(AND($A18="INSUMO",$A$8="SEM ENCARGOS SOCIAIS"),_xlfn.LET(_xlpm.linha_insumo,MATCH($B18,'ISE'!$B:$B,0),_xlpm.coluna_uf,MATCH($B$8,'ISE'!$F$10:$AF$10,0),_xlpm.preco_uf,INDEX('ISE'!$F:$AF,_xlpm.linha_insumo,_xlpm.coluna_uf),IF(ISERROR(_xlpm.linha_insumo),"",IF(_xlpm.preco_uf&lt;&gt;0,0%,100%))),
IF(AND($A18="COMPOSICAO",$A$8="SEM DESONERAÇÃO"),_xlfn.XLOOKUP($B18,'CSD'!B:B,OFFSET('CSD'!$D:$D,0,1+MATCH($B$8,'CSD'!$E$4:$BF$4,0)),0),
IF(AND($A18="COMPOSICAO",$A$8="COM DESONERAÇÃO"),_xlfn.XLOOKUP($B18,'CCD'!B:B,OFFSET('CCD'!$D:$D,0,1+MATCH($B$8,'CCD'!$E$4:$BF$4,0)),0),
IF(AND($A18="COMPOSICAO",$A$8="SEM ENCARGOS SOCIAIS"),_xlfn.XLOOKUP($B18,'CSE'!B:B,OFFSET('CSE'!$D:$D,0,1+MATCH($B$8,'CSE'!$E$9:$BF$9,0)),0),""
)))))))</f>
        <v>0</v>
      </c>
    </row>
    <row r="19" spans="6:8">
      <c r="F19" s="19" cm="1">
        <f t="array" ref="F19">IF($A19="","",
IF(AND($A19="INSUMO",$A$8="SEM DESONERAÇÃO"),_xlfn.LET(_xlpm.linha_insumo,MATCH($B19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_xlpm.preco_regional_as,INDEX($M:$M,MATCH($B19&amp;"_"&amp;$B$8,$K:$K,0)),
IF(ISERROR(_xlpm.linha_insumo),0,IF(_xlpm.preco_uf&lt;&gt;0,_xlpm.preco_uf,IF(ISNUMBER(_xlpm.preco_regional_as),_xlpm.preco_regional_as,_xlpm.preco_sp)))),
IF(AND($A19="INSUMO",$A$8="COM DESONERAÇÃO"),_xlfn.LET(_xlpm.linha_insumo,MATCH($B19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_xlpm.preco_regional_as,INDEX($N:$N,MATCH($B19&amp;"_"&amp;$B$8,$K:$K,0)),
IF(ISERROR(_xlpm.linha_insumo),0,IF(_xlpm.preco_uf&lt;&gt;0,_xlpm.preco_uf,IF(ISNUMBER(_xlpm.preco_regional_as),_xlpm.preco_regional_as,_xlpm.preco_sp)))),
IF(AND($A19="INSUMO",$A$8="SEM ENCARGOS SOCIAIS"),_xlfn.LET(_xlpm.linha_insumo,MATCH($B19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_xlpm.preco_regional_as,INDEX($L:$L,MATCH($B19&amp;"_"&amp;$B$8,$K:$K,0)),
IF(ISERROR(_xlpm.linha_insumo),0,IF(_xlpm.preco_uf&lt;&gt;0,_xlpm.preco_uf,IF(ISNUMBER(_xlpm.preco_regional_as),_xlpm.preco_regional_as,_xlpm.preco_sp)))),
IF(AND($A19="COMPOSICAO",$A$8="SEM DESONERAÇÃO"),_xlfn.XLOOKUP($B19,'CSD'!B:B,OFFSET('CSD'!$D:$D,0,MATCH($B$8,'CSD'!$E$4:$BF$4,0)),0),
IF(AND($A19="COMPOSICAO",$A$8="COM DESONERAÇÃO"),_xlfn.XLOOKUP($B19,'CCD'!B:B,OFFSET('CCD'!$D:$D,0,MATCH($B$8,'CCD'!$E$4:$BF$4,0)),0),
IF(AND($A19="COMPOSICAO",$A$8="SEM ENCARGOS SOCIAIS"),_xlfn.XLOOKUP($B19,'CSE'!B:B,OFFSET('CSE'!$D:$D,0,MATCH($B$8,'CSE'!$E$9:$BF$9,0)),0),""
)))))))</f>
        <v>0</v>
      </c>
      <c r="G19" s="19">
        <f>IF($A19="","",TRUNC(E19*F19,2))</f>
        <v>0</v>
      </c>
      <c r="H19" s="20" cm="1">
        <f t="array" ref="H19">IF($A19="","",
IF(AND($A19="INSUMO",$A$8="SEM DESONERAÇÃO"),_xlfn.LET(_xlpm.linha_insumo,MATCH($B19,'ISD'!$B:$B,0),_xlpm.coluna_uf,MATCH($B$8,'ISD'!$F$4:$AF$4,0),_xlpm.preco_uf,INDEX('ISD'!$F:$AF,_xlpm.linha_insumo,_xlpm.coluna_uf),IF(ISERROR(_xlpm.linha_insumo),"",IF(_xlpm.preco_uf&lt;&gt;0,0%,100%))),
IF(AND($A19="INSUMO",$A$8="COM DESONERAÇÃO"),_xlfn.LET(_xlpm.linha_insumo,MATCH($B19,'ICD'!$B:$B,0),_xlpm.coluna_uf,MATCH($B$8,'ICD'!$F$4:$AF$4,0),_xlpm.preco_uf,INDEX('ICD'!$F:$AF,_xlpm.linha_insumo,_xlpm.coluna_uf),IF(ISERROR(_xlpm.linha_insumo),"",IF(_xlpm.preco_uf&lt;&gt;0,0%,100%))),
IF(AND($A19="INSUMO",$A$8="SEM ENCARGOS SOCIAIS"),_xlfn.LET(_xlpm.linha_insumo,MATCH($B19,'ISE'!$B:$B,0),_xlpm.coluna_uf,MATCH($B$8,'ISE'!$F$10:$AF$10,0),_xlpm.preco_uf,INDEX('ISE'!$F:$AF,_xlpm.linha_insumo,_xlpm.coluna_uf),IF(ISERROR(_xlpm.linha_insumo),"",IF(_xlpm.preco_uf&lt;&gt;0,0%,100%))),
IF(AND($A19="COMPOSICAO",$A$8="SEM DESONERAÇÃO"),_xlfn.XLOOKUP($B19,'CSD'!B:B,OFFSET('CSD'!$D:$D,0,1+MATCH($B$8,'CSD'!$E$4:$BF$4,0)),0),
IF(AND($A19="COMPOSICAO",$A$8="COM DESONERAÇÃO"),_xlfn.XLOOKUP($B19,'CCD'!B:B,OFFSET('CCD'!$D:$D,0,1+MATCH($B$8,'CCD'!$E$4:$BF$4,0)),0),
IF(AND($A19="COMPOSICAO",$A$8="SEM ENCARGOS SOCIAIS"),_xlfn.XLOOKUP($B19,'CSE'!B:B,OFFSET('CSE'!$D:$D,0,1+MATCH($B$8,'CSE'!$E$9:$BF$9,0)),0),""
)))))))</f>
        <v>0</v>
      </c>
    </row>
    <row r="20" spans="6:8">
      <c r="F20" s="19" cm="1">
        <f t="array" ref="F20">IF($A20="","",
IF(AND($A20="INSUMO",$A$8="SEM DESONERAÇÃO"),_xlfn.LET(_xlpm.linha_insumo,MATCH($B20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_xlpm.preco_regional_as,INDEX($M:$M,MATCH($B20&amp;"_"&amp;$B$8,$K:$K,0)),
IF(ISERROR(_xlpm.linha_insumo),0,IF(_xlpm.preco_uf&lt;&gt;0,_xlpm.preco_uf,IF(ISNUMBER(_xlpm.preco_regional_as),_xlpm.preco_regional_as,_xlpm.preco_sp)))),
IF(AND($A20="INSUMO",$A$8="COM DESONERAÇÃO"),_xlfn.LET(_xlpm.linha_insumo,MATCH($B20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_xlpm.preco_regional_as,INDEX($N:$N,MATCH($B20&amp;"_"&amp;$B$8,$K:$K,0)),
IF(ISERROR(_xlpm.linha_insumo),0,IF(_xlpm.preco_uf&lt;&gt;0,_xlpm.preco_uf,IF(ISNUMBER(_xlpm.preco_regional_as),_xlpm.preco_regional_as,_xlpm.preco_sp)))),
IF(AND($A20="INSUMO",$A$8="SEM ENCARGOS SOCIAIS"),_xlfn.LET(_xlpm.linha_insumo,MATCH($B20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_xlpm.preco_regional_as,INDEX($L:$L,MATCH($B20&amp;"_"&amp;$B$8,$K:$K,0)),
IF(ISERROR(_xlpm.linha_insumo),0,IF(_xlpm.preco_uf&lt;&gt;0,_xlpm.preco_uf,IF(ISNUMBER(_xlpm.preco_regional_as),_xlpm.preco_regional_as,_xlpm.preco_sp)))),
IF(AND($A20="COMPOSICAO",$A$8="SEM DESONERAÇÃO"),_xlfn.XLOOKUP($B20,'CSD'!B:B,OFFSET('CSD'!$D:$D,0,MATCH($B$8,'CSD'!$E$4:$BF$4,0)),0),
IF(AND($A20="COMPOSICAO",$A$8="COM DESONERAÇÃO"),_xlfn.XLOOKUP($B20,'CCD'!B:B,OFFSET('CCD'!$D:$D,0,MATCH($B$8,'CCD'!$E$4:$BF$4,0)),0),
IF(AND($A20="COMPOSICAO",$A$8="SEM ENCARGOS SOCIAIS"),_xlfn.XLOOKUP($B20,'CSE'!B:B,OFFSET('CSE'!$D:$D,0,MATCH($B$8,'CSE'!$E$9:$BF$9,0)),0),""
)))))))</f>
        <v>0</v>
      </c>
      <c r="G20" s="19">
        <f>IF($A20="","",TRUNC(E20*F20,2))</f>
        <v>0</v>
      </c>
      <c r="H20" s="20" cm="1">
        <f t="array" ref="H20">IF($A20="","",
IF(AND($A20="INSUMO",$A$8="SEM DESONERAÇÃO"),_xlfn.LET(_xlpm.linha_insumo,MATCH($B20,'ISD'!$B:$B,0),_xlpm.coluna_uf,MATCH($B$8,'ISD'!$F$4:$AF$4,0),_xlpm.preco_uf,INDEX('ISD'!$F:$AF,_xlpm.linha_insumo,_xlpm.coluna_uf),IF(ISERROR(_xlpm.linha_insumo),"",IF(_xlpm.preco_uf&lt;&gt;0,0%,100%))),
IF(AND($A20="INSUMO",$A$8="COM DESONERAÇÃO"),_xlfn.LET(_xlpm.linha_insumo,MATCH($B20,'ICD'!$B:$B,0),_xlpm.coluna_uf,MATCH($B$8,'ICD'!$F$4:$AF$4,0),_xlpm.preco_uf,INDEX('ICD'!$F:$AF,_xlpm.linha_insumo,_xlpm.coluna_uf),IF(ISERROR(_xlpm.linha_insumo),"",IF(_xlpm.preco_uf&lt;&gt;0,0%,100%))),
IF(AND($A20="INSUMO",$A$8="SEM ENCARGOS SOCIAIS"),_xlfn.LET(_xlpm.linha_insumo,MATCH($B20,'ISE'!$B:$B,0),_xlpm.coluna_uf,MATCH($B$8,'ISE'!$F$10:$AF$10,0),_xlpm.preco_uf,INDEX('ISE'!$F:$AF,_xlpm.linha_insumo,_xlpm.coluna_uf),IF(ISERROR(_xlpm.linha_insumo),"",IF(_xlpm.preco_uf&lt;&gt;0,0%,100%))),
IF(AND($A20="COMPOSICAO",$A$8="SEM DESONERAÇÃO"),_xlfn.XLOOKUP($B20,'CSD'!B:B,OFFSET('CSD'!$D:$D,0,1+MATCH($B$8,'CSD'!$E$4:$BF$4,0)),0),
IF(AND($A20="COMPOSICAO",$A$8="COM DESONERAÇÃO"),_xlfn.XLOOKUP($B20,'CCD'!B:B,OFFSET('CCD'!$D:$D,0,1+MATCH($B$8,'CCD'!$E$4:$BF$4,0)),0),
IF(AND($A20="COMPOSICAO",$A$8="SEM ENCARGOS SOCIAIS"),_xlfn.XLOOKUP($B20,'CSE'!B:B,OFFSET('CSE'!$D:$D,0,1+MATCH($B$8,'CSE'!$E$9:$BF$9,0)),0),""
)))))))</f>
        <v>0</v>
      </c>
    </row>
    <row r="21" spans="6:8">
      <c r="F21" s="19" cm="1">
        <f t="array" ref="F21">IF($A21="","",
IF(AND($A21="INSUMO",$A$8="SEM DESONERAÇÃO"),_xlfn.LET(_xlpm.linha_insumo,MATCH($B21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_xlpm.preco_regional_as,INDEX($M:$M,MATCH($B21&amp;"_"&amp;$B$8,$K:$K,0)),
IF(ISERROR(_xlpm.linha_insumo),0,IF(_xlpm.preco_uf&lt;&gt;0,_xlpm.preco_uf,IF(ISNUMBER(_xlpm.preco_regional_as),_xlpm.preco_regional_as,_xlpm.preco_sp)))),
IF(AND($A21="INSUMO",$A$8="COM DESONERAÇÃO"),_xlfn.LET(_xlpm.linha_insumo,MATCH($B21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_xlpm.preco_regional_as,INDEX($N:$N,MATCH($B21&amp;"_"&amp;$B$8,$K:$K,0)),
IF(ISERROR(_xlpm.linha_insumo),0,IF(_xlpm.preco_uf&lt;&gt;0,_xlpm.preco_uf,IF(ISNUMBER(_xlpm.preco_regional_as),_xlpm.preco_regional_as,_xlpm.preco_sp)))),
IF(AND($A21="INSUMO",$A$8="SEM ENCARGOS SOCIAIS"),_xlfn.LET(_xlpm.linha_insumo,MATCH($B21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_xlpm.preco_regional_as,INDEX($L:$L,MATCH($B21&amp;"_"&amp;$B$8,$K:$K,0)),
IF(ISERROR(_xlpm.linha_insumo),0,IF(_xlpm.preco_uf&lt;&gt;0,_xlpm.preco_uf,IF(ISNUMBER(_xlpm.preco_regional_as),_xlpm.preco_regional_as,_xlpm.preco_sp)))),
IF(AND($A21="COMPOSICAO",$A$8="SEM DESONERAÇÃO"),_xlfn.XLOOKUP($B21,'CSD'!B:B,OFFSET('CSD'!$D:$D,0,MATCH($B$8,'CSD'!$E$4:$BF$4,0)),0),
IF(AND($A21="COMPOSICAO",$A$8="COM DESONERAÇÃO"),_xlfn.XLOOKUP($B21,'CCD'!B:B,OFFSET('CCD'!$D:$D,0,MATCH($B$8,'CCD'!$E$4:$BF$4,0)),0),
IF(AND($A21="COMPOSICAO",$A$8="SEM ENCARGOS SOCIAIS"),_xlfn.XLOOKUP($B21,'CSE'!B:B,OFFSET('CSE'!$D:$D,0,MATCH($B$8,'CSE'!$E$9:$BF$9,0)),0),""
)))))))</f>
        <v>0</v>
      </c>
      <c r="G21" s="19">
        <f>IF($A21="","",TRUNC(E21*F21,2))</f>
        <v>0</v>
      </c>
      <c r="H21" s="20" cm="1">
        <f t="array" ref="H21">IF($A21="","",
IF(AND($A21="INSUMO",$A$8="SEM DESONERAÇÃO"),_xlfn.LET(_xlpm.linha_insumo,MATCH($B21,'ISD'!$B:$B,0),_xlpm.coluna_uf,MATCH($B$8,'ISD'!$F$4:$AF$4,0),_xlpm.preco_uf,INDEX('ISD'!$F:$AF,_xlpm.linha_insumo,_xlpm.coluna_uf),IF(ISERROR(_xlpm.linha_insumo),"",IF(_xlpm.preco_uf&lt;&gt;0,0%,100%))),
IF(AND($A21="INSUMO",$A$8="COM DESONERAÇÃO"),_xlfn.LET(_xlpm.linha_insumo,MATCH($B21,'ICD'!$B:$B,0),_xlpm.coluna_uf,MATCH($B$8,'ICD'!$F$4:$AF$4,0),_xlpm.preco_uf,INDEX('ICD'!$F:$AF,_xlpm.linha_insumo,_xlpm.coluna_uf),IF(ISERROR(_xlpm.linha_insumo),"",IF(_xlpm.preco_uf&lt;&gt;0,0%,100%))),
IF(AND($A21="INSUMO",$A$8="SEM ENCARGOS SOCIAIS"),_xlfn.LET(_xlpm.linha_insumo,MATCH($B21,'ISE'!$B:$B,0),_xlpm.coluna_uf,MATCH($B$8,'ISE'!$F$10:$AF$10,0),_xlpm.preco_uf,INDEX('ISE'!$F:$AF,_xlpm.linha_insumo,_xlpm.coluna_uf),IF(ISERROR(_xlpm.linha_insumo),"",IF(_xlpm.preco_uf&lt;&gt;0,0%,100%))),
IF(AND($A21="COMPOSICAO",$A$8="SEM DESONERAÇÃO"),_xlfn.XLOOKUP($B21,'CSD'!B:B,OFFSET('CSD'!$D:$D,0,1+MATCH($B$8,'CSD'!$E$4:$BF$4,0)),0),
IF(AND($A21="COMPOSICAO",$A$8="COM DESONERAÇÃO"),_xlfn.XLOOKUP($B21,'CCD'!B:B,OFFSET('CCD'!$D:$D,0,1+MATCH($B$8,'CCD'!$E$4:$BF$4,0)),0),
IF(AND($A21="COMPOSICAO",$A$8="SEM ENCARGOS SOCIAIS"),_xlfn.XLOOKUP($B21,'CSE'!B:B,OFFSET('CSE'!$D:$D,0,1+MATCH($B$8,'CSE'!$E$9:$BF$9,0)),0),""
)))))))</f>
        <v>0</v>
      </c>
    </row>
    <row r="22" spans="6:8">
      <c r="F22" s="19" cm="1">
        <f t="array" ref="F22">IF($A22="","",
IF(AND($A22="INSUMO",$A$8="SEM DESONERAÇÃO"),_xlfn.LET(_xlpm.linha_insumo,MATCH($B22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_xlpm.preco_regional_as,INDEX($M:$M,MATCH($B22&amp;"_"&amp;$B$8,$K:$K,0)),
IF(ISERROR(_xlpm.linha_insumo),0,IF(_xlpm.preco_uf&lt;&gt;0,_xlpm.preco_uf,IF(ISNUMBER(_xlpm.preco_regional_as),_xlpm.preco_regional_as,_xlpm.preco_sp)))),
IF(AND($A22="INSUMO",$A$8="COM DESONERAÇÃO"),_xlfn.LET(_xlpm.linha_insumo,MATCH($B22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_xlpm.preco_regional_as,INDEX($N:$N,MATCH($B22&amp;"_"&amp;$B$8,$K:$K,0)),
IF(ISERROR(_xlpm.linha_insumo),0,IF(_xlpm.preco_uf&lt;&gt;0,_xlpm.preco_uf,IF(ISNUMBER(_xlpm.preco_regional_as),_xlpm.preco_regional_as,_xlpm.preco_sp)))),
IF(AND($A22="INSUMO",$A$8="SEM ENCARGOS SOCIAIS"),_xlfn.LET(_xlpm.linha_insumo,MATCH($B22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_xlpm.preco_regional_as,INDEX($L:$L,MATCH($B22&amp;"_"&amp;$B$8,$K:$K,0)),
IF(ISERROR(_xlpm.linha_insumo),0,IF(_xlpm.preco_uf&lt;&gt;0,_xlpm.preco_uf,IF(ISNUMBER(_xlpm.preco_regional_as),_xlpm.preco_regional_as,_xlpm.preco_sp)))),
IF(AND($A22="COMPOSICAO",$A$8="SEM DESONERAÇÃO"),_xlfn.XLOOKUP($B22,'CSD'!B:B,OFFSET('CSD'!$D:$D,0,MATCH($B$8,'CSD'!$E$4:$BF$4,0)),0),
IF(AND($A22="COMPOSICAO",$A$8="COM DESONERAÇÃO"),_xlfn.XLOOKUP($B22,'CCD'!B:B,OFFSET('CCD'!$D:$D,0,MATCH($B$8,'CCD'!$E$4:$BF$4,0)),0),
IF(AND($A22="COMPOSICAO",$A$8="SEM ENCARGOS SOCIAIS"),_xlfn.XLOOKUP($B22,'CSE'!B:B,OFFSET('CSE'!$D:$D,0,MATCH($B$8,'CSE'!$E$9:$BF$9,0)),0),""
)))))))</f>
        <v>0</v>
      </c>
      <c r="G22" s="19">
        <f>IF($A22="","",TRUNC(E22*F22,2))</f>
        <v>0</v>
      </c>
      <c r="H22" s="20" cm="1">
        <f t="array" ref="H22">IF($A22="","",
IF(AND($A22="INSUMO",$A$8="SEM DESONERAÇÃO"),_xlfn.LET(_xlpm.linha_insumo,MATCH($B22,'ISD'!$B:$B,0),_xlpm.coluna_uf,MATCH($B$8,'ISD'!$F$4:$AF$4,0),_xlpm.preco_uf,INDEX('ISD'!$F:$AF,_xlpm.linha_insumo,_xlpm.coluna_uf),IF(ISERROR(_xlpm.linha_insumo),"",IF(_xlpm.preco_uf&lt;&gt;0,0%,100%))),
IF(AND($A22="INSUMO",$A$8="COM DESONERAÇÃO"),_xlfn.LET(_xlpm.linha_insumo,MATCH($B22,'ICD'!$B:$B,0),_xlpm.coluna_uf,MATCH($B$8,'ICD'!$F$4:$AF$4,0),_xlpm.preco_uf,INDEX('ICD'!$F:$AF,_xlpm.linha_insumo,_xlpm.coluna_uf),IF(ISERROR(_xlpm.linha_insumo),"",IF(_xlpm.preco_uf&lt;&gt;0,0%,100%))),
IF(AND($A22="INSUMO",$A$8="SEM ENCARGOS SOCIAIS"),_xlfn.LET(_xlpm.linha_insumo,MATCH($B22,'ISE'!$B:$B,0),_xlpm.coluna_uf,MATCH($B$8,'ISE'!$F$10:$AF$10,0),_xlpm.preco_uf,INDEX('ISE'!$F:$AF,_xlpm.linha_insumo,_xlpm.coluna_uf),IF(ISERROR(_xlpm.linha_insumo),"",IF(_xlpm.preco_uf&lt;&gt;0,0%,100%))),
IF(AND($A22="COMPOSICAO",$A$8="SEM DESONERAÇÃO"),_xlfn.XLOOKUP($B22,'CSD'!B:B,OFFSET('CSD'!$D:$D,0,1+MATCH($B$8,'CSD'!$E$4:$BF$4,0)),0),
IF(AND($A22="COMPOSICAO",$A$8="COM DESONERAÇÃO"),_xlfn.XLOOKUP($B22,'CCD'!B:B,OFFSET('CCD'!$D:$D,0,1+MATCH($B$8,'CCD'!$E$4:$BF$4,0)),0),
IF(AND($A22="COMPOSICAO",$A$8="SEM ENCARGOS SOCIAIS"),_xlfn.XLOOKUP($B22,'CSE'!B:B,OFFSET('CSE'!$D:$D,0,1+MATCH($B$8,'CSE'!$E$9:$BF$9,0)),0),""
)))))))</f>
        <v>0</v>
      </c>
    </row>
    <row r="23" spans="6:8">
      <c r="F23" s="19" cm="1">
        <f t="array" ref="F23">IF($A23="","",
IF(AND($A23="INSUMO",$A$8="SEM DESONERAÇÃO"),_xlfn.LET(_xlpm.linha_insumo,MATCH($B23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_xlpm.preco_regional_as,INDEX($M:$M,MATCH($B23&amp;"_"&amp;$B$8,$K:$K,0)),
IF(ISERROR(_xlpm.linha_insumo),0,IF(_xlpm.preco_uf&lt;&gt;0,_xlpm.preco_uf,IF(ISNUMBER(_xlpm.preco_regional_as),_xlpm.preco_regional_as,_xlpm.preco_sp)))),
IF(AND($A23="INSUMO",$A$8="COM DESONERAÇÃO"),_xlfn.LET(_xlpm.linha_insumo,MATCH($B23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_xlpm.preco_regional_as,INDEX($N:$N,MATCH($B23&amp;"_"&amp;$B$8,$K:$K,0)),
IF(ISERROR(_xlpm.linha_insumo),0,IF(_xlpm.preco_uf&lt;&gt;0,_xlpm.preco_uf,IF(ISNUMBER(_xlpm.preco_regional_as),_xlpm.preco_regional_as,_xlpm.preco_sp)))),
IF(AND($A23="INSUMO",$A$8="SEM ENCARGOS SOCIAIS"),_xlfn.LET(_xlpm.linha_insumo,MATCH($B23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_xlpm.preco_regional_as,INDEX($L:$L,MATCH($B23&amp;"_"&amp;$B$8,$K:$K,0)),
IF(ISERROR(_xlpm.linha_insumo),0,IF(_xlpm.preco_uf&lt;&gt;0,_xlpm.preco_uf,IF(ISNUMBER(_xlpm.preco_regional_as),_xlpm.preco_regional_as,_xlpm.preco_sp)))),
IF(AND($A23="COMPOSICAO",$A$8="SEM DESONERAÇÃO"),_xlfn.XLOOKUP($B23,'CSD'!B:B,OFFSET('CSD'!$D:$D,0,MATCH($B$8,'CSD'!$E$4:$BF$4,0)),0),
IF(AND($A23="COMPOSICAO",$A$8="COM DESONERAÇÃO"),_xlfn.XLOOKUP($B23,'CCD'!B:B,OFFSET('CCD'!$D:$D,0,MATCH($B$8,'CCD'!$E$4:$BF$4,0)),0),
IF(AND($A23="COMPOSICAO",$A$8="SEM ENCARGOS SOCIAIS"),_xlfn.XLOOKUP($B23,'CSE'!B:B,OFFSET('CSE'!$D:$D,0,MATCH($B$8,'CSE'!$E$9:$BF$9,0)),0),""
)))))))</f>
        <v>0</v>
      </c>
      <c r="G23" s="19">
        <f>IF($A23="","",TRUNC(E23*F23,2))</f>
        <v>0</v>
      </c>
      <c r="H23" s="20" cm="1">
        <f t="array" ref="H23">IF($A23="","",
IF(AND($A23="INSUMO",$A$8="SEM DESONERAÇÃO"),_xlfn.LET(_xlpm.linha_insumo,MATCH($B23,'ISD'!$B:$B,0),_xlpm.coluna_uf,MATCH($B$8,'ISD'!$F$4:$AF$4,0),_xlpm.preco_uf,INDEX('ISD'!$F:$AF,_xlpm.linha_insumo,_xlpm.coluna_uf),IF(ISERROR(_xlpm.linha_insumo),"",IF(_xlpm.preco_uf&lt;&gt;0,0%,100%))),
IF(AND($A23="INSUMO",$A$8="COM DESONERAÇÃO"),_xlfn.LET(_xlpm.linha_insumo,MATCH($B23,'ICD'!$B:$B,0),_xlpm.coluna_uf,MATCH($B$8,'ICD'!$F$4:$AF$4,0),_xlpm.preco_uf,INDEX('ICD'!$F:$AF,_xlpm.linha_insumo,_xlpm.coluna_uf),IF(ISERROR(_xlpm.linha_insumo),"",IF(_xlpm.preco_uf&lt;&gt;0,0%,100%))),
IF(AND($A23="INSUMO",$A$8="SEM ENCARGOS SOCIAIS"),_xlfn.LET(_xlpm.linha_insumo,MATCH($B23,'ISE'!$B:$B,0),_xlpm.coluna_uf,MATCH($B$8,'ISE'!$F$10:$AF$10,0),_xlpm.preco_uf,INDEX('ISE'!$F:$AF,_xlpm.linha_insumo,_xlpm.coluna_uf),IF(ISERROR(_xlpm.linha_insumo),"",IF(_xlpm.preco_uf&lt;&gt;0,0%,100%))),
IF(AND($A23="COMPOSICAO",$A$8="SEM DESONERAÇÃO"),_xlfn.XLOOKUP($B23,'CSD'!B:B,OFFSET('CSD'!$D:$D,0,1+MATCH($B$8,'CSD'!$E$4:$BF$4,0)),0),
IF(AND($A23="COMPOSICAO",$A$8="COM DESONERAÇÃO"),_xlfn.XLOOKUP($B23,'CCD'!B:B,OFFSET('CCD'!$D:$D,0,1+MATCH($B$8,'CCD'!$E$4:$BF$4,0)),0),
IF(AND($A23="COMPOSICAO",$A$8="SEM ENCARGOS SOCIAIS"),_xlfn.XLOOKUP($B23,'CSE'!B:B,OFFSET('CSE'!$D:$D,0,1+MATCH($B$8,'CSE'!$E$9:$BF$9,0)),0),""
)))))))</f>
        <v>0</v>
      </c>
    </row>
    <row r="24" spans="6:8">
      <c r="F24" s="19" cm="1">
        <f t="array" ref="F24">IF($A24="","",
IF(AND($A24="INSUMO",$A$8="SEM DESONERAÇÃO"),_xlfn.LET(_xlpm.linha_insumo,MATCH($B24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_xlpm.preco_regional_as,INDEX($M:$M,MATCH($B24&amp;"_"&amp;$B$8,$K:$K,0)),
IF(ISERROR(_xlpm.linha_insumo),0,IF(_xlpm.preco_uf&lt;&gt;0,_xlpm.preco_uf,IF(ISNUMBER(_xlpm.preco_regional_as),_xlpm.preco_regional_as,_xlpm.preco_sp)))),
IF(AND($A24="INSUMO",$A$8="COM DESONERAÇÃO"),_xlfn.LET(_xlpm.linha_insumo,MATCH($B24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_xlpm.preco_regional_as,INDEX($N:$N,MATCH($B24&amp;"_"&amp;$B$8,$K:$K,0)),
IF(ISERROR(_xlpm.linha_insumo),0,IF(_xlpm.preco_uf&lt;&gt;0,_xlpm.preco_uf,IF(ISNUMBER(_xlpm.preco_regional_as),_xlpm.preco_regional_as,_xlpm.preco_sp)))),
IF(AND($A24="INSUMO",$A$8="SEM ENCARGOS SOCIAIS"),_xlfn.LET(_xlpm.linha_insumo,MATCH($B24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_xlpm.preco_regional_as,INDEX($L:$L,MATCH($B24&amp;"_"&amp;$B$8,$K:$K,0)),
IF(ISERROR(_xlpm.linha_insumo),0,IF(_xlpm.preco_uf&lt;&gt;0,_xlpm.preco_uf,IF(ISNUMBER(_xlpm.preco_regional_as),_xlpm.preco_regional_as,_xlpm.preco_sp)))),
IF(AND($A24="COMPOSICAO",$A$8="SEM DESONERAÇÃO"),_xlfn.XLOOKUP($B24,'CSD'!B:B,OFFSET('CSD'!$D:$D,0,MATCH($B$8,'CSD'!$E$4:$BF$4,0)),0),
IF(AND($A24="COMPOSICAO",$A$8="COM DESONERAÇÃO"),_xlfn.XLOOKUP($B24,'CCD'!B:B,OFFSET('CCD'!$D:$D,0,MATCH($B$8,'CCD'!$E$4:$BF$4,0)),0),
IF(AND($A24="COMPOSICAO",$A$8="SEM ENCARGOS SOCIAIS"),_xlfn.XLOOKUP($B24,'CSE'!B:B,OFFSET('CSE'!$D:$D,0,MATCH($B$8,'CSE'!$E$9:$BF$9,0)),0),""
)))))))</f>
        <v>0</v>
      </c>
      <c r="G24" s="19">
        <f>IF($A24="","",TRUNC(E24*F24,2))</f>
        <v>0</v>
      </c>
      <c r="H24" s="20" cm="1">
        <f t="array" ref="H24">IF($A24="","",
IF(AND($A24="INSUMO",$A$8="SEM DESONERAÇÃO"),_xlfn.LET(_xlpm.linha_insumo,MATCH($B24,'ISD'!$B:$B,0),_xlpm.coluna_uf,MATCH($B$8,'ISD'!$F$4:$AF$4,0),_xlpm.preco_uf,INDEX('ISD'!$F:$AF,_xlpm.linha_insumo,_xlpm.coluna_uf),IF(ISERROR(_xlpm.linha_insumo),"",IF(_xlpm.preco_uf&lt;&gt;0,0%,100%))),
IF(AND($A24="INSUMO",$A$8="COM DESONERAÇÃO"),_xlfn.LET(_xlpm.linha_insumo,MATCH($B24,'ICD'!$B:$B,0),_xlpm.coluna_uf,MATCH($B$8,'ICD'!$F$4:$AF$4,0),_xlpm.preco_uf,INDEX('ICD'!$F:$AF,_xlpm.linha_insumo,_xlpm.coluna_uf),IF(ISERROR(_xlpm.linha_insumo),"",IF(_xlpm.preco_uf&lt;&gt;0,0%,100%))),
IF(AND($A24="INSUMO",$A$8="SEM ENCARGOS SOCIAIS"),_xlfn.LET(_xlpm.linha_insumo,MATCH($B24,'ISE'!$B:$B,0),_xlpm.coluna_uf,MATCH($B$8,'ISE'!$F$10:$AF$10,0),_xlpm.preco_uf,INDEX('ISE'!$F:$AF,_xlpm.linha_insumo,_xlpm.coluna_uf),IF(ISERROR(_xlpm.linha_insumo),"",IF(_xlpm.preco_uf&lt;&gt;0,0%,100%))),
IF(AND($A24="COMPOSICAO",$A$8="SEM DESONERAÇÃO"),_xlfn.XLOOKUP($B24,'CSD'!B:B,OFFSET('CSD'!$D:$D,0,1+MATCH($B$8,'CSD'!$E$4:$BF$4,0)),0),
IF(AND($A24="COMPOSICAO",$A$8="COM DESONERAÇÃO"),_xlfn.XLOOKUP($B24,'CCD'!B:B,OFFSET('CCD'!$D:$D,0,1+MATCH($B$8,'CCD'!$E$4:$BF$4,0)),0),
IF(AND($A24="COMPOSICAO",$A$8="SEM ENCARGOS SOCIAIS"),_xlfn.XLOOKUP($B24,'CSE'!B:B,OFFSET('CSE'!$D:$D,0,1+MATCH($B$8,'CSE'!$E$9:$BF$9,0)),0),""
)))))))</f>
        <v>0</v>
      </c>
    </row>
    <row r="25" spans="6:8">
      <c r="F25" s="19" cm="1">
        <f t="array" ref="F25">IF($A25="","",
IF(AND($A25="INSUMO",$A$8="SEM DESONERAÇÃO"),_xlfn.LET(_xlpm.linha_insumo,MATCH($B25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_xlpm.preco_regional_as,INDEX($M:$M,MATCH($B25&amp;"_"&amp;$B$8,$K:$K,0)),
IF(ISERROR(_xlpm.linha_insumo),0,IF(_xlpm.preco_uf&lt;&gt;0,_xlpm.preco_uf,IF(ISNUMBER(_xlpm.preco_regional_as),_xlpm.preco_regional_as,_xlpm.preco_sp)))),
IF(AND($A25="INSUMO",$A$8="COM DESONERAÇÃO"),_xlfn.LET(_xlpm.linha_insumo,MATCH($B25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_xlpm.preco_regional_as,INDEX($N:$N,MATCH($B25&amp;"_"&amp;$B$8,$K:$K,0)),
IF(ISERROR(_xlpm.linha_insumo),0,IF(_xlpm.preco_uf&lt;&gt;0,_xlpm.preco_uf,IF(ISNUMBER(_xlpm.preco_regional_as),_xlpm.preco_regional_as,_xlpm.preco_sp)))),
IF(AND($A25="INSUMO",$A$8="SEM ENCARGOS SOCIAIS"),_xlfn.LET(_xlpm.linha_insumo,MATCH($B25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_xlpm.preco_regional_as,INDEX($L:$L,MATCH($B25&amp;"_"&amp;$B$8,$K:$K,0)),
IF(ISERROR(_xlpm.linha_insumo),0,IF(_xlpm.preco_uf&lt;&gt;0,_xlpm.preco_uf,IF(ISNUMBER(_xlpm.preco_regional_as),_xlpm.preco_regional_as,_xlpm.preco_sp)))),
IF(AND($A25="COMPOSICAO",$A$8="SEM DESONERAÇÃO"),_xlfn.XLOOKUP($B25,'CSD'!B:B,OFFSET('CSD'!$D:$D,0,MATCH($B$8,'CSD'!$E$4:$BF$4,0)),0),
IF(AND($A25="COMPOSICAO",$A$8="COM DESONERAÇÃO"),_xlfn.XLOOKUP($B25,'CCD'!B:B,OFFSET('CCD'!$D:$D,0,MATCH($B$8,'CCD'!$E$4:$BF$4,0)),0),
IF(AND($A25="COMPOSICAO",$A$8="SEM ENCARGOS SOCIAIS"),_xlfn.XLOOKUP($B25,'CSE'!B:B,OFFSET('CSE'!$D:$D,0,MATCH($B$8,'CSE'!$E$9:$BF$9,0)),0),""
)))))))</f>
        <v>0</v>
      </c>
      <c r="G25" s="19">
        <f>IF($A25="","",TRUNC(E25*F25,2))</f>
        <v>0</v>
      </c>
      <c r="H25" s="20" cm="1">
        <f t="array" ref="H25">IF($A25="","",
IF(AND($A25="INSUMO",$A$8="SEM DESONERAÇÃO"),_xlfn.LET(_xlpm.linha_insumo,MATCH($B25,'ISD'!$B:$B,0),_xlpm.coluna_uf,MATCH($B$8,'ISD'!$F$4:$AF$4,0),_xlpm.preco_uf,INDEX('ISD'!$F:$AF,_xlpm.linha_insumo,_xlpm.coluna_uf),IF(ISERROR(_xlpm.linha_insumo),"",IF(_xlpm.preco_uf&lt;&gt;0,0%,100%))),
IF(AND($A25="INSUMO",$A$8="COM DESONERAÇÃO"),_xlfn.LET(_xlpm.linha_insumo,MATCH($B25,'ICD'!$B:$B,0),_xlpm.coluna_uf,MATCH($B$8,'ICD'!$F$4:$AF$4,0),_xlpm.preco_uf,INDEX('ICD'!$F:$AF,_xlpm.linha_insumo,_xlpm.coluna_uf),IF(ISERROR(_xlpm.linha_insumo),"",IF(_xlpm.preco_uf&lt;&gt;0,0%,100%))),
IF(AND($A25="INSUMO",$A$8="SEM ENCARGOS SOCIAIS"),_xlfn.LET(_xlpm.linha_insumo,MATCH($B25,'ISE'!$B:$B,0),_xlpm.coluna_uf,MATCH($B$8,'ISE'!$F$10:$AF$10,0),_xlpm.preco_uf,INDEX('ISE'!$F:$AF,_xlpm.linha_insumo,_xlpm.coluna_uf),IF(ISERROR(_xlpm.linha_insumo),"",IF(_xlpm.preco_uf&lt;&gt;0,0%,100%))),
IF(AND($A25="COMPOSICAO",$A$8="SEM DESONERAÇÃO"),_xlfn.XLOOKUP($B25,'CSD'!B:B,OFFSET('CSD'!$D:$D,0,1+MATCH($B$8,'CSD'!$E$4:$BF$4,0)),0),
IF(AND($A25="COMPOSICAO",$A$8="COM DESONERAÇÃO"),_xlfn.XLOOKUP($B25,'CCD'!B:B,OFFSET('CCD'!$D:$D,0,1+MATCH($B$8,'CCD'!$E$4:$BF$4,0)),0),
IF(AND($A25="COMPOSICAO",$A$8="SEM ENCARGOS SOCIAIS"),_xlfn.XLOOKUP($B25,'CSE'!B:B,OFFSET('CSE'!$D:$D,0,1+MATCH($B$8,'CSE'!$E$9:$BF$9,0)),0),""
)))))))</f>
        <v>0</v>
      </c>
    </row>
    <row r="26" spans="6:8">
      <c r="F26" s="19" cm="1">
        <f t="array" ref="F26">IF($A26="","",
IF(AND($A26="INSUMO",$A$8="SEM DESONERAÇÃO"),_xlfn.LET(_xlpm.linha_insumo,MATCH($B26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_xlpm.preco_regional_as,INDEX($M:$M,MATCH($B26&amp;"_"&amp;$B$8,$K:$K,0)),
IF(ISERROR(_xlpm.linha_insumo),0,IF(_xlpm.preco_uf&lt;&gt;0,_xlpm.preco_uf,IF(ISNUMBER(_xlpm.preco_regional_as),_xlpm.preco_regional_as,_xlpm.preco_sp)))),
IF(AND($A26="INSUMO",$A$8="COM DESONERAÇÃO"),_xlfn.LET(_xlpm.linha_insumo,MATCH($B26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_xlpm.preco_regional_as,INDEX($N:$N,MATCH($B26&amp;"_"&amp;$B$8,$K:$K,0)),
IF(ISERROR(_xlpm.linha_insumo),0,IF(_xlpm.preco_uf&lt;&gt;0,_xlpm.preco_uf,IF(ISNUMBER(_xlpm.preco_regional_as),_xlpm.preco_regional_as,_xlpm.preco_sp)))),
IF(AND($A26="INSUMO",$A$8="SEM ENCARGOS SOCIAIS"),_xlfn.LET(_xlpm.linha_insumo,MATCH($B26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_xlpm.preco_regional_as,INDEX($L:$L,MATCH($B26&amp;"_"&amp;$B$8,$K:$K,0)),
IF(ISERROR(_xlpm.linha_insumo),0,IF(_xlpm.preco_uf&lt;&gt;0,_xlpm.preco_uf,IF(ISNUMBER(_xlpm.preco_regional_as),_xlpm.preco_regional_as,_xlpm.preco_sp)))),
IF(AND($A26="COMPOSICAO",$A$8="SEM DESONERAÇÃO"),_xlfn.XLOOKUP($B26,'CSD'!B:B,OFFSET('CSD'!$D:$D,0,MATCH($B$8,'CSD'!$E$4:$BF$4,0)),0),
IF(AND($A26="COMPOSICAO",$A$8="COM DESONERAÇÃO"),_xlfn.XLOOKUP($B26,'CCD'!B:B,OFFSET('CCD'!$D:$D,0,MATCH($B$8,'CCD'!$E$4:$BF$4,0)),0),
IF(AND($A26="COMPOSICAO",$A$8="SEM ENCARGOS SOCIAIS"),_xlfn.XLOOKUP($B26,'CSE'!B:B,OFFSET('CSE'!$D:$D,0,MATCH($B$8,'CSE'!$E$9:$BF$9,0)),0),""
)))))))</f>
        <v>0</v>
      </c>
      <c r="G26" s="19">
        <f>IF($A26="","",TRUNC(E26*F26,2))</f>
        <v>0</v>
      </c>
      <c r="H26" s="20" cm="1">
        <f t="array" ref="H26">IF($A26="","",
IF(AND($A26="INSUMO",$A$8="SEM DESONERAÇÃO"),_xlfn.LET(_xlpm.linha_insumo,MATCH($B26,'ISD'!$B:$B,0),_xlpm.coluna_uf,MATCH($B$8,'ISD'!$F$4:$AF$4,0),_xlpm.preco_uf,INDEX('ISD'!$F:$AF,_xlpm.linha_insumo,_xlpm.coluna_uf),IF(ISERROR(_xlpm.linha_insumo),"",IF(_xlpm.preco_uf&lt;&gt;0,0%,100%))),
IF(AND($A26="INSUMO",$A$8="COM DESONERAÇÃO"),_xlfn.LET(_xlpm.linha_insumo,MATCH($B26,'ICD'!$B:$B,0),_xlpm.coluna_uf,MATCH($B$8,'ICD'!$F$4:$AF$4,0),_xlpm.preco_uf,INDEX('ICD'!$F:$AF,_xlpm.linha_insumo,_xlpm.coluna_uf),IF(ISERROR(_xlpm.linha_insumo),"",IF(_xlpm.preco_uf&lt;&gt;0,0%,100%))),
IF(AND($A26="INSUMO",$A$8="SEM ENCARGOS SOCIAIS"),_xlfn.LET(_xlpm.linha_insumo,MATCH($B26,'ISE'!$B:$B,0),_xlpm.coluna_uf,MATCH($B$8,'ISE'!$F$10:$AF$10,0),_xlpm.preco_uf,INDEX('ISE'!$F:$AF,_xlpm.linha_insumo,_xlpm.coluna_uf),IF(ISERROR(_xlpm.linha_insumo),"",IF(_xlpm.preco_uf&lt;&gt;0,0%,100%))),
IF(AND($A26="COMPOSICAO",$A$8="SEM DESONERAÇÃO"),_xlfn.XLOOKUP($B26,'CSD'!B:B,OFFSET('CSD'!$D:$D,0,1+MATCH($B$8,'CSD'!$E$4:$BF$4,0)),0),
IF(AND($A26="COMPOSICAO",$A$8="COM DESONERAÇÃO"),_xlfn.XLOOKUP($B26,'CCD'!B:B,OFFSET('CCD'!$D:$D,0,1+MATCH($B$8,'CCD'!$E$4:$BF$4,0)),0),
IF(AND($A26="COMPOSICAO",$A$8="SEM ENCARGOS SOCIAIS"),_xlfn.XLOOKUP($B26,'CSE'!B:B,OFFSET('CSE'!$D:$D,0,1+MATCH($B$8,'CSE'!$E$9:$BF$9,0)),0),""
)))))))</f>
        <v>0</v>
      </c>
    </row>
    <row r="27" spans="6:8">
      <c r="F27" s="19" cm="1">
        <f t="array" ref="F27">IF($A27="","",
IF(AND($A27="INSUMO",$A$8="SEM DESONERAÇÃO"),_xlfn.LET(_xlpm.linha_insumo,MATCH($B27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_xlpm.preco_regional_as,INDEX($M:$M,MATCH($B27&amp;"_"&amp;$B$8,$K:$K,0)),
IF(ISERROR(_xlpm.linha_insumo),0,IF(_xlpm.preco_uf&lt;&gt;0,_xlpm.preco_uf,IF(ISNUMBER(_xlpm.preco_regional_as),_xlpm.preco_regional_as,_xlpm.preco_sp)))),
IF(AND($A27="INSUMO",$A$8="COM DESONERAÇÃO"),_xlfn.LET(_xlpm.linha_insumo,MATCH($B27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_xlpm.preco_regional_as,INDEX($N:$N,MATCH($B27&amp;"_"&amp;$B$8,$K:$K,0)),
IF(ISERROR(_xlpm.linha_insumo),0,IF(_xlpm.preco_uf&lt;&gt;0,_xlpm.preco_uf,IF(ISNUMBER(_xlpm.preco_regional_as),_xlpm.preco_regional_as,_xlpm.preco_sp)))),
IF(AND($A27="INSUMO",$A$8="SEM ENCARGOS SOCIAIS"),_xlfn.LET(_xlpm.linha_insumo,MATCH($B27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_xlpm.preco_regional_as,INDEX($L:$L,MATCH($B27&amp;"_"&amp;$B$8,$K:$K,0)),
IF(ISERROR(_xlpm.linha_insumo),0,IF(_xlpm.preco_uf&lt;&gt;0,_xlpm.preco_uf,IF(ISNUMBER(_xlpm.preco_regional_as),_xlpm.preco_regional_as,_xlpm.preco_sp)))),
IF(AND($A27="COMPOSICAO",$A$8="SEM DESONERAÇÃO"),_xlfn.XLOOKUP($B27,'CSD'!B:B,OFFSET('CSD'!$D:$D,0,MATCH($B$8,'CSD'!$E$4:$BF$4,0)),0),
IF(AND($A27="COMPOSICAO",$A$8="COM DESONERAÇÃO"),_xlfn.XLOOKUP($B27,'CCD'!B:B,OFFSET('CCD'!$D:$D,0,MATCH($B$8,'CCD'!$E$4:$BF$4,0)),0),
IF(AND($A27="COMPOSICAO",$A$8="SEM ENCARGOS SOCIAIS"),_xlfn.XLOOKUP($B27,'CSE'!B:B,OFFSET('CSE'!$D:$D,0,MATCH($B$8,'CSE'!$E$9:$BF$9,0)),0),""
)))))))</f>
        <v>0</v>
      </c>
      <c r="G27" s="19">
        <f>IF($A27="","",TRUNC(E27*F27,2))</f>
        <v>0</v>
      </c>
      <c r="H27" s="20" cm="1">
        <f t="array" ref="H27">IF($A27="","",
IF(AND($A27="INSUMO",$A$8="SEM DESONERAÇÃO"),_xlfn.LET(_xlpm.linha_insumo,MATCH($B27,'ISD'!$B:$B,0),_xlpm.coluna_uf,MATCH($B$8,'ISD'!$F$4:$AF$4,0),_xlpm.preco_uf,INDEX('ISD'!$F:$AF,_xlpm.linha_insumo,_xlpm.coluna_uf),IF(ISERROR(_xlpm.linha_insumo),"",IF(_xlpm.preco_uf&lt;&gt;0,0%,100%))),
IF(AND($A27="INSUMO",$A$8="COM DESONERAÇÃO"),_xlfn.LET(_xlpm.linha_insumo,MATCH($B27,'ICD'!$B:$B,0),_xlpm.coluna_uf,MATCH($B$8,'ICD'!$F$4:$AF$4,0),_xlpm.preco_uf,INDEX('ICD'!$F:$AF,_xlpm.linha_insumo,_xlpm.coluna_uf),IF(ISERROR(_xlpm.linha_insumo),"",IF(_xlpm.preco_uf&lt;&gt;0,0%,100%))),
IF(AND($A27="INSUMO",$A$8="SEM ENCARGOS SOCIAIS"),_xlfn.LET(_xlpm.linha_insumo,MATCH($B27,'ISE'!$B:$B,0),_xlpm.coluna_uf,MATCH($B$8,'ISE'!$F$10:$AF$10,0),_xlpm.preco_uf,INDEX('ISE'!$F:$AF,_xlpm.linha_insumo,_xlpm.coluna_uf),IF(ISERROR(_xlpm.linha_insumo),"",IF(_xlpm.preco_uf&lt;&gt;0,0%,100%))),
IF(AND($A27="COMPOSICAO",$A$8="SEM DESONERAÇÃO"),_xlfn.XLOOKUP($B27,'CSD'!B:B,OFFSET('CSD'!$D:$D,0,1+MATCH($B$8,'CSD'!$E$4:$BF$4,0)),0),
IF(AND($A27="COMPOSICAO",$A$8="COM DESONERAÇÃO"),_xlfn.XLOOKUP($B27,'CCD'!B:B,OFFSET('CCD'!$D:$D,0,1+MATCH($B$8,'CCD'!$E$4:$BF$4,0)),0),
IF(AND($A27="COMPOSICAO",$A$8="SEM ENCARGOS SOCIAIS"),_xlfn.XLOOKUP($B27,'CSE'!B:B,OFFSET('CSE'!$D:$D,0,1+MATCH($B$8,'CSE'!$E$9:$BF$9,0)),0),""
)))))))</f>
        <v>0</v>
      </c>
    </row>
    <row r="28" spans="6:8">
      <c r="F28" s="19" cm="1">
        <f t="array" ref="F28">IF($A28="","",
IF(AND($A28="INSUMO",$A$8="SEM DESONERAÇÃO"),_xlfn.LET(_xlpm.linha_insumo,MATCH($B28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_xlpm.preco_regional_as,INDEX($M:$M,MATCH($B28&amp;"_"&amp;$B$8,$K:$K,0)),
IF(ISERROR(_xlpm.linha_insumo),0,IF(_xlpm.preco_uf&lt;&gt;0,_xlpm.preco_uf,IF(ISNUMBER(_xlpm.preco_regional_as),_xlpm.preco_regional_as,_xlpm.preco_sp)))),
IF(AND($A28="INSUMO",$A$8="COM DESONERAÇÃO"),_xlfn.LET(_xlpm.linha_insumo,MATCH($B28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_xlpm.preco_regional_as,INDEX($N:$N,MATCH($B28&amp;"_"&amp;$B$8,$K:$K,0)),
IF(ISERROR(_xlpm.linha_insumo),0,IF(_xlpm.preco_uf&lt;&gt;0,_xlpm.preco_uf,IF(ISNUMBER(_xlpm.preco_regional_as),_xlpm.preco_regional_as,_xlpm.preco_sp)))),
IF(AND($A28="INSUMO",$A$8="SEM ENCARGOS SOCIAIS"),_xlfn.LET(_xlpm.linha_insumo,MATCH($B28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_xlpm.preco_regional_as,INDEX($L:$L,MATCH($B28&amp;"_"&amp;$B$8,$K:$K,0)),
IF(ISERROR(_xlpm.linha_insumo),0,IF(_xlpm.preco_uf&lt;&gt;0,_xlpm.preco_uf,IF(ISNUMBER(_xlpm.preco_regional_as),_xlpm.preco_regional_as,_xlpm.preco_sp)))),
IF(AND($A28="COMPOSICAO",$A$8="SEM DESONERAÇÃO"),_xlfn.XLOOKUP($B28,'CSD'!B:B,OFFSET('CSD'!$D:$D,0,MATCH($B$8,'CSD'!$E$4:$BF$4,0)),0),
IF(AND($A28="COMPOSICAO",$A$8="COM DESONERAÇÃO"),_xlfn.XLOOKUP($B28,'CCD'!B:B,OFFSET('CCD'!$D:$D,0,MATCH($B$8,'CCD'!$E$4:$BF$4,0)),0),
IF(AND($A28="COMPOSICAO",$A$8="SEM ENCARGOS SOCIAIS"),_xlfn.XLOOKUP($B28,'CSE'!B:B,OFFSET('CSE'!$D:$D,0,MATCH($B$8,'CSE'!$E$9:$BF$9,0)),0),""
)))))))</f>
        <v>0</v>
      </c>
      <c r="G28" s="19">
        <f>IF($A28="","",TRUNC(E28*F28,2))</f>
        <v>0</v>
      </c>
      <c r="H28" s="20" cm="1">
        <f t="array" ref="H28">IF($A28="","",
IF(AND($A28="INSUMO",$A$8="SEM DESONERAÇÃO"),_xlfn.LET(_xlpm.linha_insumo,MATCH($B28,'ISD'!$B:$B,0),_xlpm.coluna_uf,MATCH($B$8,'ISD'!$F$4:$AF$4,0),_xlpm.preco_uf,INDEX('ISD'!$F:$AF,_xlpm.linha_insumo,_xlpm.coluna_uf),IF(ISERROR(_xlpm.linha_insumo),"",IF(_xlpm.preco_uf&lt;&gt;0,0%,100%))),
IF(AND($A28="INSUMO",$A$8="COM DESONERAÇÃO"),_xlfn.LET(_xlpm.linha_insumo,MATCH($B28,'ICD'!$B:$B,0),_xlpm.coluna_uf,MATCH($B$8,'ICD'!$F$4:$AF$4,0),_xlpm.preco_uf,INDEX('ICD'!$F:$AF,_xlpm.linha_insumo,_xlpm.coluna_uf),IF(ISERROR(_xlpm.linha_insumo),"",IF(_xlpm.preco_uf&lt;&gt;0,0%,100%))),
IF(AND($A28="INSUMO",$A$8="SEM ENCARGOS SOCIAIS"),_xlfn.LET(_xlpm.linha_insumo,MATCH($B28,'ISE'!$B:$B,0),_xlpm.coluna_uf,MATCH($B$8,'ISE'!$F$10:$AF$10,0),_xlpm.preco_uf,INDEX('ISE'!$F:$AF,_xlpm.linha_insumo,_xlpm.coluna_uf),IF(ISERROR(_xlpm.linha_insumo),"",IF(_xlpm.preco_uf&lt;&gt;0,0%,100%))),
IF(AND($A28="COMPOSICAO",$A$8="SEM DESONERAÇÃO"),_xlfn.XLOOKUP($B28,'CSD'!B:B,OFFSET('CSD'!$D:$D,0,1+MATCH($B$8,'CSD'!$E$4:$BF$4,0)),0),
IF(AND($A28="COMPOSICAO",$A$8="COM DESONERAÇÃO"),_xlfn.XLOOKUP($B28,'CCD'!B:B,OFFSET('CCD'!$D:$D,0,1+MATCH($B$8,'CCD'!$E$4:$BF$4,0)),0),
IF(AND($A28="COMPOSICAO",$A$8="SEM ENCARGOS SOCIAIS"),_xlfn.XLOOKUP($B28,'CSE'!B:B,OFFSET('CSE'!$D:$D,0,1+MATCH($B$8,'CSE'!$E$9:$BF$9,0)),0),""
)))))))</f>
        <v>0</v>
      </c>
    </row>
    <row r="29" spans="6:8">
      <c r="F29" s="19" cm="1">
        <f t="array" ref="F29">IF($A29="","",
IF(AND($A29="INSUMO",$A$8="SEM DESONERAÇÃO"),_xlfn.LET(_xlpm.linha_insumo,MATCH($B29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_xlpm.preco_regional_as,INDEX($M:$M,MATCH($B29&amp;"_"&amp;$B$8,$K:$K,0)),
IF(ISERROR(_xlpm.linha_insumo),0,IF(_xlpm.preco_uf&lt;&gt;0,_xlpm.preco_uf,IF(ISNUMBER(_xlpm.preco_regional_as),_xlpm.preco_regional_as,_xlpm.preco_sp)))),
IF(AND($A29="INSUMO",$A$8="COM DESONERAÇÃO"),_xlfn.LET(_xlpm.linha_insumo,MATCH($B29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_xlpm.preco_regional_as,INDEX($N:$N,MATCH($B29&amp;"_"&amp;$B$8,$K:$K,0)),
IF(ISERROR(_xlpm.linha_insumo),0,IF(_xlpm.preco_uf&lt;&gt;0,_xlpm.preco_uf,IF(ISNUMBER(_xlpm.preco_regional_as),_xlpm.preco_regional_as,_xlpm.preco_sp)))),
IF(AND($A29="INSUMO",$A$8="SEM ENCARGOS SOCIAIS"),_xlfn.LET(_xlpm.linha_insumo,MATCH($B29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_xlpm.preco_regional_as,INDEX($L:$L,MATCH($B29&amp;"_"&amp;$B$8,$K:$K,0)),
IF(ISERROR(_xlpm.linha_insumo),0,IF(_xlpm.preco_uf&lt;&gt;0,_xlpm.preco_uf,IF(ISNUMBER(_xlpm.preco_regional_as),_xlpm.preco_regional_as,_xlpm.preco_sp)))),
IF(AND($A29="COMPOSICAO",$A$8="SEM DESONERAÇÃO"),_xlfn.XLOOKUP($B29,'CSD'!B:B,OFFSET('CSD'!$D:$D,0,MATCH($B$8,'CSD'!$E$4:$BF$4,0)),0),
IF(AND($A29="COMPOSICAO",$A$8="COM DESONERAÇÃO"),_xlfn.XLOOKUP($B29,'CCD'!B:B,OFFSET('CCD'!$D:$D,0,MATCH($B$8,'CCD'!$E$4:$BF$4,0)),0),
IF(AND($A29="COMPOSICAO",$A$8="SEM ENCARGOS SOCIAIS"),_xlfn.XLOOKUP($B29,'CSE'!B:B,OFFSET('CSE'!$D:$D,0,MATCH($B$8,'CSE'!$E$9:$BF$9,0)),0),""
)))))))</f>
        <v>0</v>
      </c>
      <c r="G29" s="19">
        <f>IF($A29="","",TRUNC(E29*F29,2))</f>
        <v>0</v>
      </c>
      <c r="H29" s="20" cm="1">
        <f t="array" ref="H29">IF($A29="","",
IF(AND($A29="INSUMO",$A$8="SEM DESONERAÇÃO"),_xlfn.LET(_xlpm.linha_insumo,MATCH($B29,'ISD'!$B:$B,0),_xlpm.coluna_uf,MATCH($B$8,'ISD'!$F$4:$AF$4,0),_xlpm.preco_uf,INDEX('ISD'!$F:$AF,_xlpm.linha_insumo,_xlpm.coluna_uf),IF(ISERROR(_xlpm.linha_insumo),"",IF(_xlpm.preco_uf&lt;&gt;0,0%,100%))),
IF(AND($A29="INSUMO",$A$8="COM DESONERAÇÃO"),_xlfn.LET(_xlpm.linha_insumo,MATCH($B29,'ICD'!$B:$B,0),_xlpm.coluna_uf,MATCH($B$8,'ICD'!$F$4:$AF$4,0),_xlpm.preco_uf,INDEX('ICD'!$F:$AF,_xlpm.linha_insumo,_xlpm.coluna_uf),IF(ISERROR(_xlpm.linha_insumo),"",IF(_xlpm.preco_uf&lt;&gt;0,0%,100%))),
IF(AND($A29="INSUMO",$A$8="SEM ENCARGOS SOCIAIS"),_xlfn.LET(_xlpm.linha_insumo,MATCH($B29,'ISE'!$B:$B,0),_xlpm.coluna_uf,MATCH($B$8,'ISE'!$F$10:$AF$10,0),_xlpm.preco_uf,INDEX('ISE'!$F:$AF,_xlpm.linha_insumo,_xlpm.coluna_uf),IF(ISERROR(_xlpm.linha_insumo),"",IF(_xlpm.preco_uf&lt;&gt;0,0%,100%))),
IF(AND($A29="COMPOSICAO",$A$8="SEM DESONERAÇÃO"),_xlfn.XLOOKUP($B29,'CSD'!B:B,OFFSET('CSD'!$D:$D,0,1+MATCH($B$8,'CSD'!$E$4:$BF$4,0)),0),
IF(AND($A29="COMPOSICAO",$A$8="COM DESONERAÇÃO"),_xlfn.XLOOKUP($B29,'CCD'!B:B,OFFSET('CCD'!$D:$D,0,1+MATCH($B$8,'CCD'!$E$4:$BF$4,0)),0),
IF(AND($A29="COMPOSICAO",$A$8="SEM ENCARGOS SOCIAIS"),_xlfn.XLOOKUP($B29,'CSE'!B:B,OFFSET('CSE'!$D:$D,0,1+MATCH($B$8,'CSE'!$E$9:$BF$9,0)),0),""
)))))))</f>
        <v>0</v>
      </c>
    </row>
    <row r="30" spans="6:8">
      <c r="F30" s="19" cm="1">
        <f t="array" ref="F30">IF($A30="","",
IF(AND($A30="INSUMO",$A$8="SEM DESONERAÇÃO"),_xlfn.LET(_xlpm.linha_insumo,MATCH($B30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_xlpm.preco_regional_as,INDEX($M:$M,MATCH($B30&amp;"_"&amp;$B$8,$K:$K,0)),
IF(ISERROR(_xlpm.linha_insumo),0,IF(_xlpm.preco_uf&lt;&gt;0,_xlpm.preco_uf,IF(ISNUMBER(_xlpm.preco_regional_as),_xlpm.preco_regional_as,_xlpm.preco_sp)))),
IF(AND($A30="INSUMO",$A$8="COM DESONERAÇÃO"),_xlfn.LET(_xlpm.linha_insumo,MATCH($B30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_xlpm.preco_regional_as,INDEX($N:$N,MATCH($B30&amp;"_"&amp;$B$8,$K:$K,0)),
IF(ISERROR(_xlpm.linha_insumo),0,IF(_xlpm.preco_uf&lt;&gt;0,_xlpm.preco_uf,IF(ISNUMBER(_xlpm.preco_regional_as),_xlpm.preco_regional_as,_xlpm.preco_sp)))),
IF(AND($A30="INSUMO",$A$8="SEM ENCARGOS SOCIAIS"),_xlfn.LET(_xlpm.linha_insumo,MATCH($B30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_xlpm.preco_regional_as,INDEX($L:$L,MATCH($B30&amp;"_"&amp;$B$8,$K:$K,0)),
IF(ISERROR(_xlpm.linha_insumo),0,IF(_xlpm.preco_uf&lt;&gt;0,_xlpm.preco_uf,IF(ISNUMBER(_xlpm.preco_regional_as),_xlpm.preco_regional_as,_xlpm.preco_sp)))),
IF(AND($A30="COMPOSICAO",$A$8="SEM DESONERAÇÃO"),_xlfn.XLOOKUP($B30,'CSD'!B:B,OFFSET('CSD'!$D:$D,0,MATCH($B$8,'CSD'!$E$4:$BF$4,0)),0),
IF(AND($A30="COMPOSICAO",$A$8="COM DESONERAÇÃO"),_xlfn.XLOOKUP($B30,'CCD'!B:B,OFFSET('CCD'!$D:$D,0,MATCH($B$8,'CCD'!$E$4:$BF$4,0)),0),
IF(AND($A30="COMPOSICAO",$A$8="SEM ENCARGOS SOCIAIS"),_xlfn.XLOOKUP($B30,'CSE'!B:B,OFFSET('CSE'!$D:$D,0,MATCH($B$8,'CSE'!$E$9:$BF$9,0)),0),""
)))))))</f>
        <v>0</v>
      </c>
      <c r="G30" s="19">
        <f>IF($A30="","",TRUNC(E30*F30,2))</f>
        <v>0</v>
      </c>
      <c r="H30" s="20" cm="1">
        <f t="array" ref="H30">IF($A30="","",
IF(AND($A30="INSUMO",$A$8="SEM DESONERAÇÃO"),_xlfn.LET(_xlpm.linha_insumo,MATCH($B30,'ISD'!$B:$B,0),_xlpm.coluna_uf,MATCH($B$8,'ISD'!$F$4:$AF$4,0),_xlpm.preco_uf,INDEX('ISD'!$F:$AF,_xlpm.linha_insumo,_xlpm.coluna_uf),IF(ISERROR(_xlpm.linha_insumo),"",IF(_xlpm.preco_uf&lt;&gt;0,0%,100%))),
IF(AND($A30="INSUMO",$A$8="COM DESONERAÇÃO"),_xlfn.LET(_xlpm.linha_insumo,MATCH($B30,'ICD'!$B:$B,0),_xlpm.coluna_uf,MATCH($B$8,'ICD'!$F$4:$AF$4,0),_xlpm.preco_uf,INDEX('ICD'!$F:$AF,_xlpm.linha_insumo,_xlpm.coluna_uf),IF(ISERROR(_xlpm.linha_insumo),"",IF(_xlpm.preco_uf&lt;&gt;0,0%,100%))),
IF(AND($A30="INSUMO",$A$8="SEM ENCARGOS SOCIAIS"),_xlfn.LET(_xlpm.linha_insumo,MATCH($B30,'ISE'!$B:$B,0),_xlpm.coluna_uf,MATCH($B$8,'ISE'!$F$10:$AF$10,0),_xlpm.preco_uf,INDEX('ISE'!$F:$AF,_xlpm.linha_insumo,_xlpm.coluna_uf),IF(ISERROR(_xlpm.linha_insumo),"",IF(_xlpm.preco_uf&lt;&gt;0,0%,100%))),
IF(AND($A30="COMPOSICAO",$A$8="SEM DESONERAÇÃO"),_xlfn.XLOOKUP($B30,'CSD'!B:B,OFFSET('CSD'!$D:$D,0,1+MATCH($B$8,'CSD'!$E$4:$BF$4,0)),0),
IF(AND($A30="COMPOSICAO",$A$8="COM DESONERAÇÃO"),_xlfn.XLOOKUP($B30,'CCD'!B:B,OFFSET('CCD'!$D:$D,0,1+MATCH($B$8,'CCD'!$E$4:$BF$4,0)),0),
IF(AND($A30="COMPOSICAO",$A$8="SEM ENCARGOS SOCIAIS"),_xlfn.XLOOKUP($B30,'CSE'!B:B,OFFSET('CSE'!$D:$D,0,1+MATCH($B$8,'CSE'!$E$9:$BF$9,0)),0),""
)))))))</f>
        <v>0</v>
      </c>
    </row>
    <row r="31" spans="6:8">
      <c r="F31" s="19" cm="1">
        <f t="array" ref="F31">IF($A31="","",
IF(AND($A31="INSUMO",$A$8="SEM DESONERAÇÃO"),_xlfn.LET(_xlpm.linha_insumo,MATCH($B31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_xlpm.preco_regional_as,INDEX($M:$M,MATCH($B31&amp;"_"&amp;$B$8,$K:$K,0)),
IF(ISERROR(_xlpm.linha_insumo),0,IF(_xlpm.preco_uf&lt;&gt;0,_xlpm.preco_uf,IF(ISNUMBER(_xlpm.preco_regional_as),_xlpm.preco_regional_as,_xlpm.preco_sp)))),
IF(AND($A31="INSUMO",$A$8="COM DESONERAÇÃO"),_xlfn.LET(_xlpm.linha_insumo,MATCH($B31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_xlpm.preco_regional_as,INDEX($N:$N,MATCH($B31&amp;"_"&amp;$B$8,$K:$K,0)),
IF(ISERROR(_xlpm.linha_insumo),0,IF(_xlpm.preco_uf&lt;&gt;0,_xlpm.preco_uf,IF(ISNUMBER(_xlpm.preco_regional_as),_xlpm.preco_regional_as,_xlpm.preco_sp)))),
IF(AND($A31="INSUMO",$A$8="SEM ENCARGOS SOCIAIS"),_xlfn.LET(_xlpm.linha_insumo,MATCH($B31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_xlpm.preco_regional_as,INDEX($L:$L,MATCH($B31&amp;"_"&amp;$B$8,$K:$K,0)),
IF(ISERROR(_xlpm.linha_insumo),0,IF(_xlpm.preco_uf&lt;&gt;0,_xlpm.preco_uf,IF(ISNUMBER(_xlpm.preco_regional_as),_xlpm.preco_regional_as,_xlpm.preco_sp)))),
IF(AND($A31="COMPOSICAO",$A$8="SEM DESONERAÇÃO"),_xlfn.XLOOKUP($B31,'CSD'!B:B,OFFSET('CSD'!$D:$D,0,MATCH($B$8,'CSD'!$E$4:$BF$4,0)),0),
IF(AND($A31="COMPOSICAO",$A$8="COM DESONERAÇÃO"),_xlfn.XLOOKUP($B31,'CCD'!B:B,OFFSET('CCD'!$D:$D,0,MATCH($B$8,'CCD'!$E$4:$BF$4,0)),0),
IF(AND($A31="COMPOSICAO",$A$8="SEM ENCARGOS SOCIAIS"),_xlfn.XLOOKUP($B31,'CSE'!B:B,OFFSET('CSE'!$D:$D,0,MATCH($B$8,'CSE'!$E$9:$BF$9,0)),0),""
)))))))</f>
        <v>0</v>
      </c>
      <c r="G31" s="19">
        <f>IF($A31="","",TRUNC(E31*F31,2))</f>
        <v>0</v>
      </c>
      <c r="H31" s="20" cm="1">
        <f t="array" ref="H31">IF($A31="","",
IF(AND($A31="INSUMO",$A$8="SEM DESONERAÇÃO"),_xlfn.LET(_xlpm.linha_insumo,MATCH($B31,'ISD'!$B:$B,0),_xlpm.coluna_uf,MATCH($B$8,'ISD'!$F$4:$AF$4,0),_xlpm.preco_uf,INDEX('ISD'!$F:$AF,_xlpm.linha_insumo,_xlpm.coluna_uf),IF(ISERROR(_xlpm.linha_insumo),"",IF(_xlpm.preco_uf&lt;&gt;0,0%,100%))),
IF(AND($A31="INSUMO",$A$8="COM DESONERAÇÃO"),_xlfn.LET(_xlpm.linha_insumo,MATCH($B31,'ICD'!$B:$B,0),_xlpm.coluna_uf,MATCH($B$8,'ICD'!$F$4:$AF$4,0),_xlpm.preco_uf,INDEX('ICD'!$F:$AF,_xlpm.linha_insumo,_xlpm.coluna_uf),IF(ISERROR(_xlpm.linha_insumo),"",IF(_xlpm.preco_uf&lt;&gt;0,0%,100%))),
IF(AND($A31="INSUMO",$A$8="SEM ENCARGOS SOCIAIS"),_xlfn.LET(_xlpm.linha_insumo,MATCH($B31,'ISE'!$B:$B,0),_xlpm.coluna_uf,MATCH($B$8,'ISE'!$F$10:$AF$10,0),_xlpm.preco_uf,INDEX('ISE'!$F:$AF,_xlpm.linha_insumo,_xlpm.coluna_uf),IF(ISERROR(_xlpm.linha_insumo),"",IF(_xlpm.preco_uf&lt;&gt;0,0%,100%))),
IF(AND($A31="COMPOSICAO",$A$8="SEM DESONERAÇÃO"),_xlfn.XLOOKUP($B31,'CSD'!B:B,OFFSET('CSD'!$D:$D,0,1+MATCH($B$8,'CSD'!$E$4:$BF$4,0)),0),
IF(AND($A31="COMPOSICAO",$A$8="COM DESONERAÇÃO"),_xlfn.XLOOKUP($B31,'CCD'!B:B,OFFSET('CCD'!$D:$D,0,1+MATCH($B$8,'CCD'!$E$4:$BF$4,0)),0),
IF(AND($A31="COMPOSICAO",$A$8="SEM ENCARGOS SOCIAIS"),_xlfn.XLOOKUP($B31,'CSE'!B:B,OFFSET('CSE'!$D:$D,0,1+MATCH($B$8,'CSE'!$E$9:$BF$9,0)),0),""
)))))))</f>
        <v>0</v>
      </c>
    </row>
    <row r="32" spans="6:8">
      <c r="F32" s="19" cm="1">
        <f t="array" ref="F32">IF($A32="","",
IF(AND($A32="INSUMO",$A$8="SEM DESONERAÇÃO"),_xlfn.LET(_xlpm.linha_insumo,MATCH($B32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_xlpm.preco_regional_as,INDEX($M:$M,MATCH($B32&amp;"_"&amp;$B$8,$K:$K,0)),
IF(ISERROR(_xlpm.linha_insumo),0,IF(_xlpm.preco_uf&lt;&gt;0,_xlpm.preco_uf,IF(ISNUMBER(_xlpm.preco_regional_as),_xlpm.preco_regional_as,_xlpm.preco_sp)))),
IF(AND($A32="INSUMO",$A$8="COM DESONERAÇÃO"),_xlfn.LET(_xlpm.linha_insumo,MATCH($B32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_xlpm.preco_regional_as,INDEX($N:$N,MATCH($B32&amp;"_"&amp;$B$8,$K:$K,0)),
IF(ISERROR(_xlpm.linha_insumo),0,IF(_xlpm.preco_uf&lt;&gt;0,_xlpm.preco_uf,IF(ISNUMBER(_xlpm.preco_regional_as),_xlpm.preco_regional_as,_xlpm.preco_sp)))),
IF(AND($A32="INSUMO",$A$8="SEM ENCARGOS SOCIAIS"),_xlfn.LET(_xlpm.linha_insumo,MATCH($B32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_xlpm.preco_regional_as,INDEX($L:$L,MATCH($B32&amp;"_"&amp;$B$8,$K:$K,0)),
IF(ISERROR(_xlpm.linha_insumo),0,IF(_xlpm.preco_uf&lt;&gt;0,_xlpm.preco_uf,IF(ISNUMBER(_xlpm.preco_regional_as),_xlpm.preco_regional_as,_xlpm.preco_sp)))),
IF(AND($A32="COMPOSICAO",$A$8="SEM DESONERAÇÃO"),_xlfn.XLOOKUP($B32,'CSD'!B:B,OFFSET('CSD'!$D:$D,0,MATCH($B$8,'CSD'!$E$4:$BF$4,0)),0),
IF(AND($A32="COMPOSICAO",$A$8="COM DESONERAÇÃO"),_xlfn.XLOOKUP($B32,'CCD'!B:B,OFFSET('CCD'!$D:$D,0,MATCH($B$8,'CCD'!$E$4:$BF$4,0)),0),
IF(AND($A32="COMPOSICAO",$A$8="SEM ENCARGOS SOCIAIS"),_xlfn.XLOOKUP($B32,'CSE'!B:B,OFFSET('CSE'!$D:$D,0,MATCH($B$8,'CSE'!$E$9:$BF$9,0)),0),""
)))))))</f>
        <v>0</v>
      </c>
      <c r="G32" s="19">
        <f>IF($A32="","",TRUNC(E32*F32,2))</f>
        <v>0</v>
      </c>
      <c r="H32" s="20" cm="1">
        <f t="array" ref="H32">IF($A32="","",
IF(AND($A32="INSUMO",$A$8="SEM DESONERAÇÃO"),_xlfn.LET(_xlpm.linha_insumo,MATCH($B32,'ISD'!$B:$B,0),_xlpm.coluna_uf,MATCH($B$8,'ISD'!$F$4:$AF$4,0),_xlpm.preco_uf,INDEX('ISD'!$F:$AF,_xlpm.linha_insumo,_xlpm.coluna_uf),IF(ISERROR(_xlpm.linha_insumo),"",IF(_xlpm.preco_uf&lt;&gt;0,0%,100%))),
IF(AND($A32="INSUMO",$A$8="COM DESONERAÇÃO"),_xlfn.LET(_xlpm.linha_insumo,MATCH($B32,'ICD'!$B:$B,0),_xlpm.coluna_uf,MATCH($B$8,'ICD'!$F$4:$AF$4,0),_xlpm.preco_uf,INDEX('ICD'!$F:$AF,_xlpm.linha_insumo,_xlpm.coluna_uf),IF(ISERROR(_xlpm.linha_insumo),"",IF(_xlpm.preco_uf&lt;&gt;0,0%,100%))),
IF(AND($A32="INSUMO",$A$8="SEM ENCARGOS SOCIAIS"),_xlfn.LET(_xlpm.linha_insumo,MATCH($B32,'ISE'!$B:$B,0),_xlpm.coluna_uf,MATCH($B$8,'ISE'!$F$10:$AF$10,0),_xlpm.preco_uf,INDEX('ISE'!$F:$AF,_xlpm.linha_insumo,_xlpm.coluna_uf),IF(ISERROR(_xlpm.linha_insumo),"",IF(_xlpm.preco_uf&lt;&gt;0,0%,100%))),
IF(AND($A32="COMPOSICAO",$A$8="SEM DESONERAÇÃO"),_xlfn.XLOOKUP($B32,'CSD'!B:B,OFFSET('CSD'!$D:$D,0,1+MATCH($B$8,'CSD'!$E$4:$BF$4,0)),0),
IF(AND($A32="COMPOSICAO",$A$8="COM DESONERAÇÃO"),_xlfn.XLOOKUP($B32,'CCD'!B:B,OFFSET('CCD'!$D:$D,0,1+MATCH($B$8,'CCD'!$E$4:$BF$4,0)),0),
IF(AND($A32="COMPOSICAO",$A$8="SEM ENCARGOS SOCIAIS"),_xlfn.XLOOKUP($B32,'CSE'!B:B,OFFSET('CSE'!$D:$D,0,1+MATCH($B$8,'CSE'!$E$9:$BF$9,0)),0),""
)))))))</f>
        <v>0</v>
      </c>
    </row>
    <row r="33" spans="6:8">
      <c r="F33" s="19" cm="1">
        <f t="array" ref="F33">IF($A33="","",
IF(AND($A33="INSUMO",$A$8="SEM DESONERAÇÃO"),_xlfn.LET(_xlpm.linha_insumo,MATCH($B33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_xlpm.preco_regional_as,INDEX($M:$M,MATCH($B33&amp;"_"&amp;$B$8,$K:$K,0)),
IF(ISERROR(_xlpm.linha_insumo),0,IF(_xlpm.preco_uf&lt;&gt;0,_xlpm.preco_uf,IF(ISNUMBER(_xlpm.preco_regional_as),_xlpm.preco_regional_as,_xlpm.preco_sp)))),
IF(AND($A33="INSUMO",$A$8="COM DESONERAÇÃO"),_xlfn.LET(_xlpm.linha_insumo,MATCH($B33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_xlpm.preco_regional_as,INDEX($N:$N,MATCH($B33&amp;"_"&amp;$B$8,$K:$K,0)),
IF(ISERROR(_xlpm.linha_insumo),0,IF(_xlpm.preco_uf&lt;&gt;0,_xlpm.preco_uf,IF(ISNUMBER(_xlpm.preco_regional_as),_xlpm.preco_regional_as,_xlpm.preco_sp)))),
IF(AND($A33="INSUMO",$A$8="SEM ENCARGOS SOCIAIS"),_xlfn.LET(_xlpm.linha_insumo,MATCH($B33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_xlpm.preco_regional_as,INDEX($L:$L,MATCH($B33&amp;"_"&amp;$B$8,$K:$K,0)),
IF(ISERROR(_xlpm.linha_insumo),0,IF(_xlpm.preco_uf&lt;&gt;0,_xlpm.preco_uf,IF(ISNUMBER(_xlpm.preco_regional_as),_xlpm.preco_regional_as,_xlpm.preco_sp)))),
IF(AND($A33="COMPOSICAO",$A$8="SEM DESONERAÇÃO"),_xlfn.XLOOKUP($B33,'CSD'!B:B,OFFSET('CSD'!$D:$D,0,MATCH($B$8,'CSD'!$E$4:$BF$4,0)),0),
IF(AND($A33="COMPOSICAO",$A$8="COM DESONERAÇÃO"),_xlfn.XLOOKUP($B33,'CCD'!B:B,OFFSET('CCD'!$D:$D,0,MATCH($B$8,'CCD'!$E$4:$BF$4,0)),0),
IF(AND($A33="COMPOSICAO",$A$8="SEM ENCARGOS SOCIAIS"),_xlfn.XLOOKUP($B33,'CSE'!B:B,OFFSET('CSE'!$D:$D,0,MATCH($B$8,'CSE'!$E$9:$BF$9,0)),0),""
)))))))</f>
        <v>0</v>
      </c>
      <c r="G33" s="19">
        <f>IF($A33="","",TRUNC(E33*F33,2))</f>
        <v>0</v>
      </c>
      <c r="H33" s="20" cm="1">
        <f t="array" ref="H33">IF($A33="","",
IF(AND($A33="INSUMO",$A$8="SEM DESONERAÇÃO"),_xlfn.LET(_xlpm.linha_insumo,MATCH($B33,'ISD'!$B:$B,0),_xlpm.coluna_uf,MATCH($B$8,'ISD'!$F$4:$AF$4,0),_xlpm.preco_uf,INDEX('ISD'!$F:$AF,_xlpm.linha_insumo,_xlpm.coluna_uf),IF(ISERROR(_xlpm.linha_insumo),"",IF(_xlpm.preco_uf&lt;&gt;0,0%,100%))),
IF(AND($A33="INSUMO",$A$8="COM DESONERAÇÃO"),_xlfn.LET(_xlpm.linha_insumo,MATCH($B33,'ICD'!$B:$B,0),_xlpm.coluna_uf,MATCH($B$8,'ICD'!$F$4:$AF$4,0),_xlpm.preco_uf,INDEX('ICD'!$F:$AF,_xlpm.linha_insumo,_xlpm.coluna_uf),IF(ISERROR(_xlpm.linha_insumo),"",IF(_xlpm.preco_uf&lt;&gt;0,0%,100%))),
IF(AND($A33="INSUMO",$A$8="SEM ENCARGOS SOCIAIS"),_xlfn.LET(_xlpm.linha_insumo,MATCH($B33,'ISE'!$B:$B,0),_xlpm.coluna_uf,MATCH($B$8,'ISE'!$F$10:$AF$10,0),_xlpm.preco_uf,INDEX('ISE'!$F:$AF,_xlpm.linha_insumo,_xlpm.coluna_uf),IF(ISERROR(_xlpm.linha_insumo),"",IF(_xlpm.preco_uf&lt;&gt;0,0%,100%))),
IF(AND($A33="COMPOSICAO",$A$8="SEM DESONERAÇÃO"),_xlfn.XLOOKUP($B33,'CSD'!B:B,OFFSET('CSD'!$D:$D,0,1+MATCH($B$8,'CSD'!$E$4:$BF$4,0)),0),
IF(AND($A33="COMPOSICAO",$A$8="COM DESONERAÇÃO"),_xlfn.XLOOKUP($B33,'CCD'!B:B,OFFSET('CCD'!$D:$D,0,1+MATCH($B$8,'CCD'!$E$4:$BF$4,0)),0),
IF(AND($A33="COMPOSICAO",$A$8="SEM ENCARGOS SOCIAIS"),_xlfn.XLOOKUP($B33,'CSE'!B:B,OFFSET('CSE'!$D:$D,0,1+MATCH($B$8,'CSE'!$E$9:$BF$9,0)),0),""
)))))))</f>
        <v>0</v>
      </c>
    </row>
    <row r="34" spans="6:8">
      <c r="F34" s="19" cm="1">
        <f t="array" ref="F34">IF($A34="","",
IF(AND($A34="INSUMO",$A$8="SEM DESONERAÇÃO"),_xlfn.LET(_xlpm.linha_insumo,MATCH($B34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_xlpm.preco_regional_as,INDEX($M:$M,MATCH($B34&amp;"_"&amp;$B$8,$K:$K,0)),
IF(ISERROR(_xlpm.linha_insumo),0,IF(_xlpm.preco_uf&lt;&gt;0,_xlpm.preco_uf,IF(ISNUMBER(_xlpm.preco_regional_as),_xlpm.preco_regional_as,_xlpm.preco_sp)))),
IF(AND($A34="INSUMO",$A$8="COM DESONERAÇÃO"),_xlfn.LET(_xlpm.linha_insumo,MATCH($B34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_xlpm.preco_regional_as,INDEX($N:$N,MATCH($B34&amp;"_"&amp;$B$8,$K:$K,0)),
IF(ISERROR(_xlpm.linha_insumo),0,IF(_xlpm.preco_uf&lt;&gt;0,_xlpm.preco_uf,IF(ISNUMBER(_xlpm.preco_regional_as),_xlpm.preco_regional_as,_xlpm.preco_sp)))),
IF(AND($A34="INSUMO",$A$8="SEM ENCARGOS SOCIAIS"),_xlfn.LET(_xlpm.linha_insumo,MATCH($B34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_xlpm.preco_regional_as,INDEX($L:$L,MATCH($B34&amp;"_"&amp;$B$8,$K:$K,0)),
IF(ISERROR(_xlpm.linha_insumo),0,IF(_xlpm.preco_uf&lt;&gt;0,_xlpm.preco_uf,IF(ISNUMBER(_xlpm.preco_regional_as),_xlpm.preco_regional_as,_xlpm.preco_sp)))),
IF(AND($A34="COMPOSICAO",$A$8="SEM DESONERAÇÃO"),_xlfn.XLOOKUP($B34,'CSD'!B:B,OFFSET('CSD'!$D:$D,0,MATCH($B$8,'CSD'!$E$4:$BF$4,0)),0),
IF(AND($A34="COMPOSICAO",$A$8="COM DESONERAÇÃO"),_xlfn.XLOOKUP($B34,'CCD'!B:B,OFFSET('CCD'!$D:$D,0,MATCH($B$8,'CCD'!$E$4:$BF$4,0)),0),
IF(AND($A34="COMPOSICAO",$A$8="SEM ENCARGOS SOCIAIS"),_xlfn.XLOOKUP($B34,'CSE'!B:B,OFFSET('CSE'!$D:$D,0,MATCH($B$8,'CSE'!$E$9:$BF$9,0)),0),""
)))))))</f>
        <v>0</v>
      </c>
      <c r="G34" s="19">
        <f>IF($A34="","",TRUNC(E34*F34,2))</f>
        <v>0</v>
      </c>
      <c r="H34" s="20" cm="1">
        <f t="array" ref="H34">IF($A34="","",
IF(AND($A34="INSUMO",$A$8="SEM DESONERAÇÃO"),_xlfn.LET(_xlpm.linha_insumo,MATCH($B34,'ISD'!$B:$B,0),_xlpm.coluna_uf,MATCH($B$8,'ISD'!$F$4:$AF$4,0),_xlpm.preco_uf,INDEX('ISD'!$F:$AF,_xlpm.linha_insumo,_xlpm.coluna_uf),IF(ISERROR(_xlpm.linha_insumo),"",IF(_xlpm.preco_uf&lt;&gt;0,0%,100%))),
IF(AND($A34="INSUMO",$A$8="COM DESONERAÇÃO"),_xlfn.LET(_xlpm.linha_insumo,MATCH($B34,'ICD'!$B:$B,0),_xlpm.coluna_uf,MATCH($B$8,'ICD'!$F$4:$AF$4,0),_xlpm.preco_uf,INDEX('ICD'!$F:$AF,_xlpm.linha_insumo,_xlpm.coluna_uf),IF(ISERROR(_xlpm.linha_insumo),"",IF(_xlpm.preco_uf&lt;&gt;0,0%,100%))),
IF(AND($A34="INSUMO",$A$8="SEM ENCARGOS SOCIAIS"),_xlfn.LET(_xlpm.linha_insumo,MATCH($B34,'ISE'!$B:$B,0),_xlpm.coluna_uf,MATCH($B$8,'ISE'!$F$10:$AF$10,0),_xlpm.preco_uf,INDEX('ISE'!$F:$AF,_xlpm.linha_insumo,_xlpm.coluna_uf),IF(ISERROR(_xlpm.linha_insumo),"",IF(_xlpm.preco_uf&lt;&gt;0,0%,100%))),
IF(AND($A34="COMPOSICAO",$A$8="SEM DESONERAÇÃO"),_xlfn.XLOOKUP($B34,'CSD'!B:B,OFFSET('CSD'!$D:$D,0,1+MATCH($B$8,'CSD'!$E$4:$BF$4,0)),0),
IF(AND($A34="COMPOSICAO",$A$8="COM DESONERAÇÃO"),_xlfn.XLOOKUP($B34,'CCD'!B:B,OFFSET('CCD'!$D:$D,0,1+MATCH($B$8,'CCD'!$E$4:$BF$4,0)),0),
IF(AND($A34="COMPOSICAO",$A$8="SEM ENCARGOS SOCIAIS"),_xlfn.XLOOKUP($B34,'CSE'!B:B,OFFSET('CSE'!$D:$D,0,1+MATCH($B$8,'CSE'!$E$9:$BF$9,0)),0),""
)))))))</f>
        <v>0</v>
      </c>
    </row>
    <row r="35" spans="6:8">
      <c r="F35" s="19" cm="1">
        <f t="array" ref="F35">IF($A35="","",
IF(AND($A35="INSUMO",$A$8="SEM DESONERAÇÃO"),_xlfn.LET(_xlpm.linha_insumo,MATCH($B35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_xlpm.preco_regional_as,INDEX($M:$M,MATCH($B35&amp;"_"&amp;$B$8,$K:$K,0)),
IF(ISERROR(_xlpm.linha_insumo),0,IF(_xlpm.preco_uf&lt;&gt;0,_xlpm.preco_uf,IF(ISNUMBER(_xlpm.preco_regional_as),_xlpm.preco_regional_as,_xlpm.preco_sp)))),
IF(AND($A35="INSUMO",$A$8="COM DESONERAÇÃO"),_xlfn.LET(_xlpm.linha_insumo,MATCH($B35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_xlpm.preco_regional_as,INDEX($N:$N,MATCH($B35&amp;"_"&amp;$B$8,$K:$K,0)),
IF(ISERROR(_xlpm.linha_insumo),0,IF(_xlpm.preco_uf&lt;&gt;0,_xlpm.preco_uf,IF(ISNUMBER(_xlpm.preco_regional_as),_xlpm.preco_regional_as,_xlpm.preco_sp)))),
IF(AND($A35="INSUMO",$A$8="SEM ENCARGOS SOCIAIS"),_xlfn.LET(_xlpm.linha_insumo,MATCH($B35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_xlpm.preco_regional_as,INDEX($L:$L,MATCH($B35&amp;"_"&amp;$B$8,$K:$K,0)),
IF(ISERROR(_xlpm.linha_insumo),0,IF(_xlpm.preco_uf&lt;&gt;0,_xlpm.preco_uf,IF(ISNUMBER(_xlpm.preco_regional_as),_xlpm.preco_regional_as,_xlpm.preco_sp)))),
IF(AND($A35="COMPOSICAO",$A$8="SEM DESONERAÇÃO"),_xlfn.XLOOKUP($B35,'CSD'!B:B,OFFSET('CSD'!$D:$D,0,MATCH($B$8,'CSD'!$E$4:$BF$4,0)),0),
IF(AND($A35="COMPOSICAO",$A$8="COM DESONERAÇÃO"),_xlfn.XLOOKUP($B35,'CCD'!B:B,OFFSET('CCD'!$D:$D,0,MATCH($B$8,'CCD'!$E$4:$BF$4,0)),0),
IF(AND($A35="COMPOSICAO",$A$8="SEM ENCARGOS SOCIAIS"),_xlfn.XLOOKUP($B35,'CSE'!B:B,OFFSET('CSE'!$D:$D,0,MATCH($B$8,'CSE'!$E$9:$BF$9,0)),0),""
)))))))</f>
        <v>0</v>
      </c>
      <c r="G35" s="19">
        <f>IF($A35="","",TRUNC(E35*F35,2))</f>
        <v>0</v>
      </c>
      <c r="H35" s="20" cm="1">
        <f t="array" ref="H35">IF($A35="","",
IF(AND($A35="INSUMO",$A$8="SEM DESONERAÇÃO"),_xlfn.LET(_xlpm.linha_insumo,MATCH($B35,'ISD'!$B:$B,0),_xlpm.coluna_uf,MATCH($B$8,'ISD'!$F$4:$AF$4,0),_xlpm.preco_uf,INDEX('ISD'!$F:$AF,_xlpm.linha_insumo,_xlpm.coluna_uf),IF(ISERROR(_xlpm.linha_insumo),"",IF(_xlpm.preco_uf&lt;&gt;0,0%,100%))),
IF(AND($A35="INSUMO",$A$8="COM DESONERAÇÃO"),_xlfn.LET(_xlpm.linha_insumo,MATCH($B35,'ICD'!$B:$B,0),_xlpm.coluna_uf,MATCH($B$8,'ICD'!$F$4:$AF$4,0),_xlpm.preco_uf,INDEX('ICD'!$F:$AF,_xlpm.linha_insumo,_xlpm.coluna_uf),IF(ISERROR(_xlpm.linha_insumo),"",IF(_xlpm.preco_uf&lt;&gt;0,0%,100%))),
IF(AND($A35="INSUMO",$A$8="SEM ENCARGOS SOCIAIS"),_xlfn.LET(_xlpm.linha_insumo,MATCH($B35,'ISE'!$B:$B,0),_xlpm.coluna_uf,MATCH($B$8,'ISE'!$F$10:$AF$10,0),_xlpm.preco_uf,INDEX('ISE'!$F:$AF,_xlpm.linha_insumo,_xlpm.coluna_uf),IF(ISERROR(_xlpm.linha_insumo),"",IF(_xlpm.preco_uf&lt;&gt;0,0%,100%))),
IF(AND($A35="COMPOSICAO",$A$8="SEM DESONERAÇÃO"),_xlfn.XLOOKUP($B35,'CSD'!B:B,OFFSET('CSD'!$D:$D,0,1+MATCH($B$8,'CSD'!$E$4:$BF$4,0)),0),
IF(AND($A35="COMPOSICAO",$A$8="COM DESONERAÇÃO"),_xlfn.XLOOKUP($B35,'CCD'!B:B,OFFSET('CCD'!$D:$D,0,1+MATCH($B$8,'CCD'!$E$4:$BF$4,0)),0),
IF(AND($A35="COMPOSICAO",$A$8="SEM ENCARGOS SOCIAIS"),_xlfn.XLOOKUP($B35,'CSE'!B:B,OFFSET('CSE'!$D:$D,0,1+MATCH($B$8,'CSE'!$E$9:$BF$9,0)),0),""
)))))))</f>
        <v>0</v>
      </c>
    </row>
    <row r="36" spans="6:8">
      <c r="F36" s="19" cm="1">
        <f t="array" ref="F36">IF($A36="","",
IF(AND($A36="INSUMO",$A$8="SEM DESONERAÇÃO"),_xlfn.LET(_xlpm.linha_insumo,MATCH($B36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_xlpm.preco_regional_as,INDEX($M:$M,MATCH($B36&amp;"_"&amp;$B$8,$K:$K,0)),
IF(ISERROR(_xlpm.linha_insumo),0,IF(_xlpm.preco_uf&lt;&gt;0,_xlpm.preco_uf,IF(ISNUMBER(_xlpm.preco_regional_as),_xlpm.preco_regional_as,_xlpm.preco_sp)))),
IF(AND($A36="INSUMO",$A$8="COM DESONERAÇÃO"),_xlfn.LET(_xlpm.linha_insumo,MATCH($B36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_xlpm.preco_regional_as,INDEX($N:$N,MATCH($B36&amp;"_"&amp;$B$8,$K:$K,0)),
IF(ISERROR(_xlpm.linha_insumo),0,IF(_xlpm.preco_uf&lt;&gt;0,_xlpm.preco_uf,IF(ISNUMBER(_xlpm.preco_regional_as),_xlpm.preco_regional_as,_xlpm.preco_sp)))),
IF(AND($A36="INSUMO",$A$8="SEM ENCARGOS SOCIAIS"),_xlfn.LET(_xlpm.linha_insumo,MATCH($B36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_xlpm.preco_regional_as,INDEX($L:$L,MATCH($B36&amp;"_"&amp;$B$8,$K:$K,0)),
IF(ISERROR(_xlpm.linha_insumo),0,IF(_xlpm.preco_uf&lt;&gt;0,_xlpm.preco_uf,IF(ISNUMBER(_xlpm.preco_regional_as),_xlpm.preco_regional_as,_xlpm.preco_sp)))),
IF(AND($A36="COMPOSICAO",$A$8="SEM DESONERAÇÃO"),_xlfn.XLOOKUP($B36,'CSD'!B:B,OFFSET('CSD'!$D:$D,0,MATCH($B$8,'CSD'!$E$4:$BF$4,0)),0),
IF(AND($A36="COMPOSICAO",$A$8="COM DESONERAÇÃO"),_xlfn.XLOOKUP($B36,'CCD'!B:B,OFFSET('CCD'!$D:$D,0,MATCH($B$8,'CCD'!$E$4:$BF$4,0)),0),
IF(AND($A36="COMPOSICAO",$A$8="SEM ENCARGOS SOCIAIS"),_xlfn.XLOOKUP($B36,'CSE'!B:B,OFFSET('CSE'!$D:$D,0,MATCH($B$8,'CSE'!$E$9:$BF$9,0)),0),""
)))))))</f>
        <v>0</v>
      </c>
      <c r="G36" s="19">
        <f>IF($A36="","",TRUNC(E36*F36,2))</f>
        <v>0</v>
      </c>
      <c r="H36" s="20" cm="1">
        <f t="array" ref="H36">IF($A36="","",
IF(AND($A36="INSUMO",$A$8="SEM DESONERAÇÃO"),_xlfn.LET(_xlpm.linha_insumo,MATCH($B36,'ISD'!$B:$B,0),_xlpm.coluna_uf,MATCH($B$8,'ISD'!$F$4:$AF$4,0),_xlpm.preco_uf,INDEX('ISD'!$F:$AF,_xlpm.linha_insumo,_xlpm.coluna_uf),IF(ISERROR(_xlpm.linha_insumo),"",IF(_xlpm.preco_uf&lt;&gt;0,0%,100%))),
IF(AND($A36="INSUMO",$A$8="COM DESONERAÇÃO"),_xlfn.LET(_xlpm.linha_insumo,MATCH($B36,'ICD'!$B:$B,0),_xlpm.coluna_uf,MATCH($B$8,'ICD'!$F$4:$AF$4,0),_xlpm.preco_uf,INDEX('ICD'!$F:$AF,_xlpm.linha_insumo,_xlpm.coluna_uf),IF(ISERROR(_xlpm.linha_insumo),"",IF(_xlpm.preco_uf&lt;&gt;0,0%,100%))),
IF(AND($A36="INSUMO",$A$8="SEM ENCARGOS SOCIAIS"),_xlfn.LET(_xlpm.linha_insumo,MATCH($B36,'ISE'!$B:$B,0),_xlpm.coluna_uf,MATCH($B$8,'ISE'!$F$10:$AF$10,0),_xlpm.preco_uf,INDEX('ISE'!$F:$AF,_xlpm.linha_insumo,_xlpm.coluna_uf),IF(ISERROR(_xlpm.linha_insumo),"",IF(_xlpm.preco_uf&lt;&gt;0,0%,100%))),
IF(AND($A36="COMPOSICAO",$A$8="SEM DESONERAÇÃO"),_xlfn.XLOOKUP($B36,'CSD'!B:B,OFFSET('CSD'!$D:$D,0,1+MATCH($B$8,'CSD'!$E$4:$BF$4,0)),0),
IF(AND($A36="COMPOSICAO",$A$8="COM DESONERAÇÃO"),_xlfn.XLOOKUP($B36,'CCD'!B:B,OFFSET('CCD'!$D:$D,0,1+MATCH($B$8,'CCD'!$E$4:$BF$4,0)),0),
IF(AND($A36="COMPOSICAO",$A$8="SEM ENCARGOS SOCIAIS"),_xlfn.XLOOKUP($B36,'CSE'!B:B,OFFSET('CSE'!$D:$D,0,1+MATCH($B$8,'CSE'!$E$9:$BF$9,0)),0),""
)))))))</f>
        <v>0</v>
      </c>
    </row>
    <row r="37" spans="6:8">
      <c r="F37" s="19" cm="1">
        <f t="array" ref="F37">IF($A37="","",
IF(AND($A37="INSUMO",$A$8="SEM DESONERAÇÃO"),_xlfn.LET(_xlpm.linha_insumo,MATCH($B37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_xlpm.preco_regional_as,INDEX($M:$M,MATCH($B37&amp;"_"&amp;$B$8,$K:$K,0)),
IF(ISERROR(_xlpm.linha_insumo),0,IF(_xlpm.preco_uf&lt;&gt;0,_xlpm.preco_uf,IF(ISNUMBER(_xlpm.preco_regional_as),_xlpm.preco_regional_as,_xlpm.preco_sp)))),
IF(AND($A37="INSUMO",$A$8="COM DESONERAÇÃO"),_xlfn.LET(_xlpm.linha_insumo,MATCH($B37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_xlpm.preco_regional_as,INDEX($N:$N,MATCH($B37&amp;"_"&amp;$B$8,$K:$K,0)),
IF(ISERROR(_xlpm.linha_insumo),0,IF(_xlpm.preco_uf&lt;&gt;0,_xlpm.preco_uf,IF(ISNUMBER(_xlpm.preco_regional_as),_xlpm.preco_regional_as,_xlpm.preco_sp)))),
IF(AND($A37="INSUMO",$A$8="SEM ENCARGOS SOCIAIS"),_xlfn.LET(_xlpm.linha_insumo,MATCH($B37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_xlpm.preco_regional_as,INDEX($L:$L,MATCH($B37&amp;"_"&amp;$B$8,$K:$K,0)),
IF(ISERROR(_xlpm.linha_insumo),0,IF(_xlpm.preco_uf&lt;&gt;0,_xlpm.preco_uf,IF(ISNUMBER(_xlpm.preco_regional_as),_xlpm.preco_regional_as,_xlpm.preco_sp)))),
IF(AND($A37="COMPOSICAO",$A$8="SEM DESONERAÇÃO"),_xlfn.XLOOKUP($B37,'CSD'!B:B,OFFSET('CSD'!$D:$D,0,MATCH($B$8,'CSD'!$E$4:$BF$4,0)),0),
IF(AND($A37="COMPOSICAO",$A$8="COM DESONERAÇÃO"),_xlfn.XLOOKUP($B37,'CCD'!B:B,OFFSET('CCD'!$D:$D,0,MATCH($B$8,'CCD'!$E$4:$BF$4,0)),0),
IF(AND($A37="COMPOSICAO",$A$8="SEM ENCARGOS SOCIAIS"),_xlfn.XLOOKUP($B37,'CSE'!B:B,OFFSET('CSE'!$D:$D,0,MATCH($B$8,'CSE'!$E$9:$BF$9,0)),0),""
)))))))</f>
        <v>0</v>
      </c>
      <c r="G37" s="19">
        <f>IF($A37="","",TRUNC(E37*F37,2))</f>
        <v>0</v>
      </c>
      <c r="H37" s="20" cm="1">
        <f t="array" ref="H37">IF($A37="","",
IF(AND($A37="INSUMO",$A$8="SEM DESONERAÇÃO"),_xlfn.LET(_xlpm.linha_insumo,MATCH($B37,'ISD'!$B:$B,0),_xlpm.coluna_uf,MATCH($B$8,'ISD'!$F$4:$AF$4,0),_xlpm.preco_uf,INDEX('ISD'!$F:$AF,_xlpm.linha_insumo,_xlpm.coluna_uf),IF(ISERROR(_xlpm.linha_insumo),"",IF(_xlpm.preco_uf&lt;&gt;0,0%,100%))),
IF(AND($A37="INSUMO",$A$8="COM DESONERAÇÃO"),_xlfn.LET(_xlpm.linha_insumo,MATCH($B37,'ICD'!$B:$B,0),_xlpm.coluna_uf,MATCH($B$8,'ICD'!$F$4:$AF$4,0),_xlpm.preco_uf,INDEX('ICD'!$F:$AF,_xlpm.linha_insumo,_xlpm.coluna_uf),IF(ISERROR(_xlpm.linha_insumo),"",IF(_xlpm.preco_uf&lt;&gt;0,0%,100%))),
IF(AND($A37="INSUMO",$A$8="SEM ENCARGOS SOCIAIS"),_xlfn.LET(_xlpm.linha_insumo,MATCH($B37,'ISE'!$B:$B,0),_xlpm.coluna_uf,MATCH($B$8,'ISE'!$F$10:$AF$10,0),_xlpm.preco_uf,INDEX('ISE'!$F:$AF,_xlpm.linha_insumo,_xlpm.coluna_uf),IF(ISERROR(_xlpm.linha_insumo),"",IF(_xlpm.preco_uf&lt;&gt;0,0%,100%))),
IF(AND($A37="COMPOSICAO",$A$8="SEM DESONERAÇÃO"),_xlfn.XLOOKUP($B37,'CSD'!B:B,OFFSET('CSD'!$D:$D,0,1+MATCH($B$8,'CSD'!$E$4:$BF$4,0)),0),
IF(AND($A37="COMPOSICAO",$A$8="COM DESONERAÇÃO"),_xlfn.XLOOKUP($B37,'CCD'!B:B,OFFSET('CCD'!$D:$D,0,1+MATCH($B$8,'CCD'!$E$4:$BF$4,0)),0),
IF(AND($A37="COMPOSICAO",$A$8="SEM ENCARGOS SOCIAIS"),_xlfn.XLOOKUP($B37,'CSE'!B:B,OFFSET('CSE'!$D:$D,0,1+MATCH($B$8,'CSE'!$E$9:$BF$9,0)),0),""
)))))))</f>
        <v>0</v>
      </c>
    </row>
    <row r="38" spans="6:8">
      <c r="F38" s="19" cm="1">
        <f t="array" ref="F38">IF($A38="","",
IF(AND($A38="INSUMO",$A$8="SEM DESONERAÇÃO"),_xlfn.LET(_xlpm.linha_insumo,MATCH($B38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_xlpm.preco_regional_as,INDEX($M:$M,MATCH($B38&amp;"_"&amp;$B$8,$K:$K,0)),
IF(ISERROR(_xlpm.linha_insumo),0,IF(_xlpm.preco_uf&lt;&gt;0,_xlpm.preco_uf,IF(ISNUMBER(_xlpm.preco_regional_as),_xlpm.preco_regional_as,_xlpm.preco_sp)))),
IF(AND($A38="INSUMO",$A$8="COM DESONERAÇÃO"),_xlfn.LET(_xlpm.linha_insumo,MATCH($B38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_xlpm.preco_regional_as,INDEX($N:$N,MATCH($B38&amp;"_"&amp;$B$8,$K:$K,0)),
IF(ISERROR(_xlpm.linha_insumo),0,IF(_xlpm.preco_uf&lt;&gt;0,_xlpm.preco_uf,IF(ISNUMBER(_xlpm.preco_regional_as),_xlpm.preco_regional_as,_xlpm.preco_sp)))),
IF(AND($A38="INSUMO",$A$8="SEM ENCARGOS SOCIAIS"),_xlfn.LET(_xlpm.linha_insumo,MATCH($B38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_xlpm.preco_regional_as,INDEX($L:$L,MATCH($B38&amp;"_"&amp;$B$8,$K:$K,0)),
IF(ISERROR(_xlpm.linha_insumo),0,IF(_xlpm.preco_uf&lt;&gt;0,_xlpm.preco_uf,IF(ISNUMBER(_xlpm.preco_regional_as),_xlpm.preco_regional_as,_xlpm.preco_sp)))),
IF(AND($A38="COMPOSICAO",$A$8="SEM DESONERAÇÃO"),_xlfn.XLOOKUP($B38,'CSD'!B:B,OFFSET('CSD'!$D:$D,0,MATCH($B$8,'CSD'!$E$4:$BF$4,0)),0),
IF(AND($A38="COMPOSICAO",$A$8="COM DESONERAÇÃO"),_xlfn.XLOOKUP($B38,'CCD'!B:B,OFFSET('CCD'!$D:$D,0,MATCH($B$8,'CCD'!$E$4:$BF$4,0)),0),
IF(AND($A38="COMPOSICAO",$A$8="SEM ENCARGOS SOCIAIS"),_xlfn.XLOOKUP($B38,'CSE'!B:B,OFFSET('CSE'!$D:$D,0,MATCH($B$8,'CSE'!$E$9:$BF$9,0)),0),""
)))))))</f>
        <v>0</v>
      </c>
      <c r="G38" s="19">
        <f>IF($A38="","",TRUNC(E38*F38,2))</f>
        <v>0</v>
      </c>
      <c r="H38" s="20" cm="1">
        <f t="array" ref="H38">IF($A38="","",
IF(AND($A38="INSUMO",$A$8="SEM DESONERAÇÃO"),_xlfn.LET(_xlpm.linha_insumo,MATCH($B38,'ISD'!$B:$B,0),_xlpm.coluna_uf,MATCH($B$8,'ISD'!$F$4:$AF$4,0),_xlpm.preco_uf,INDEX('ISD'!$F:$AF,_xlpm.linha_insumo,_xlpm.coluna_uf),IF(ISERROR(_xlpm.linha_insumo),"",IF(_xlpm.preco_uf&lt;&gt;0,0%,100%))),
IF(AND($A38="INSUMO",$A$8="COM DESONERAÇÃO"),_xlfn.LET(_xlpm.linha_insumo,MATCH($B38,'ICD'!$B:$B,0),_xlpm.coluna_uf,MATCH($B$8,'ICD'!$F$4:$AF$4,0),_xlpm.preco_uf,INDEX('ICD'!$F:$AF,_xlpm.linha_insumo,_xlpm.coluna_uf),IF(ISERROR(_xlpm.linha_insumo),"",IF(_xlpm.preco_uf&lt;&gt;0,0%,100%))),
IF(AND($A38="INSUMO",$A$8="SEM ENCARGOS SOCIAIS"),_xlfn.LET(_xlpm.linha_insumo,MATCH($B38,'ISE'!$B:$B,0),_xlpm.coluna_uf,MATCH($B$8,'ISE'!$F$10:$AF$10,0),_xlpm.preco_uf,INDEX('ISE'!$F:$AF,_xlpm.linha_insumo,_xlpm.coluna_uf),IF(ISERROR(_xlpm.linha_insumo),"",IF(_xlpm.preco_uf&lt;&gt;0,0%,100%))),
IF(AND($A38="COMPOSICAO",$A$8="SEM DESONERAÇÃO"),_xlfn.XLOOKUP($B38,'CSD'!B:B,OFFSET('CSD'!$D:$D,0,1+MATCH($B$8,'CSD'!$E$4:$BF$4,0)),0),
IF(AND($A38="COMPOSICAO",$A$8="COM DESONERAÇÃO"),_xlfn.XLOOKUP($B38,'CCD'!B:B,OFFSET('CCD'!$D:$D,0,1+MATCH($B$8,'CCD'!$E$4:$BF$4,0)),0),
IF(AND($A38="COMPOSICAO",$A$8="SEM ENCARGOS SOCIAIS"),_xlfn.XLOOKUP($B38,'CSE'!B:B,OFFSET('CSE'!$D:$D,0,1+MATCH($B$8,'CSE'!$E$9:$BF$9,0)),0),""
)))))))</f>
        <v>0</v>
      </c>
    </row>
    <row r="39" spans="6:8">
      <c r="F39" s="19" cm="1">
        <f t="array" ref="F39">IF($A39="","",
IF(AND($A39="INSUMO",$A$8="SEM DESONERAÇÃO"),_xlfn.LET(_xlpm.linha_insumo,MATCH($B39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_xlpm.preco_regional_as,INDEX($M:$M,MATCH($B39&amp;"_"&amp;$B$8,$K:$K,0)),
IF(ISERROR(_xlpm.linha_insumo),0,IF(_xlpm.preco_uf&lt;&gt;0,_xlpm.preco_uf,IF(ISNUMBER(_xlpm.preco_regional_as),_xlpm.preco_regional_as,_xlpm.preco_sp)))),
IF(AND($A39="INSUMO",$A$8="COM DESONERAÇÃO"),_xlfn.LET(_xlpm.linha_insumo,MATCH($B39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_xlpm.preco_regional_as,INDEX($N:$N,MATCH($B39&amp;"_"&amp;$B$8,$K:$K,0)),
IF(ISERROR(_xlpm.linha_insumo),0,IF(_xlpm.preco_uf&lt;&gt;0,_xlpm.preco_uf,IF(ISNUMBER(_xlpm.preco_regional_as),_xlpm.preco_regional_as,_xlpm.preco_sp)))),
IF(AND($A39="INSUMO",$A$8="SEM ENCARGOS SOCIAIS"),_xlfn.LET(_xlpm.linha_insumo,MATCH($B39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_xlpm.preco_regional_as,INDEX($L:$L,MATCH($B39&amp;"_"&amp;$B$8,$K:$K,0)),
IF(ISERROR(_xlpm.linha_insumo),0,IF(_xlpm.preco_uf&lt;&gt;0,_xlpm.preco_uf,IF(ISNUMBER(_xlpm.preco_regional_as),_xlpm.preco_regional_as,_xlpm.preco_sp)))),
IF(AND($A39="COMPOSICAO",$A$8="SEM DESONERAÇÃO"),_xlfn.XLOOKUP($B39,'CSD'!B:B,OFFSET('CSD'!$D:$D,0,MATCH($B$8,'CSD'!$E$4:$BF$4,0)),0),
IF(AND($A39="COMPOSICAO",$A$8="COM DESONERAÇÃO"),_xlfn.XLOOKUP($B39,'CCD'!B:B,OFFSET('CCD'!$D:$D,0,MATCH($B$8,'CCD'!$E$4:$BF$4,0)),0),
IF(AND($A39="COMPOSICAO",$A$8="SEM ENCARGOS SOCIAIS"),_xlfn.XLOOKUP($B39,'CSE'!B:B,OFFSET('CSE'!$D:$D,0,MATCH($B$8,'CSE'!$E$9:$BF$9,0)),0),""
)))))))</f>
        <v>0</v>
      </c>
      <c r="G39" s="19">
        <f>IF($A39="","",TRUNC(E39*F39,2))</f>
        <v>0</v>
      </c>
      <c r="H39" s="20" cm="1">
        <f t="array" ref="H39">IF($A39="","",
IF(AND($A39="INSUMO",$A$8="SEM DESONERAÇÃO"),_xlfn.LET(_xlpm.linha_insumo,MATCH($B39,'ISD'!$B:$B,0),_xlpm.coluna_uf,MATCH($B$8,'ISD'!$F$4:$AF$4,0),_xlpm.preco_uf,INDEX('ISD'!$F:$AF,_xlpm.linha_insumo,_xlpm.coluna_uf),IF(ISERROR(_xlpm.linha_insumo),"",IF(_xlpm.preco_uf&lt;&gt;0,0%,100%))),
IF(AND($A39="INSUMO",$A$8="COM DESONERAÇÃO"),_xlfn.LET(_xlpm.linha_insumo,MATCH($B39,'ICD'!$B:$B,0),_xlpm.coluna_uf,MATCH($B$8,'ICD'!$F$4:$AF$4,0),_xlpm.preco_uf,INDEX('ICD'!$F:$AF,_xlpm.linha_insumo,_xlpm.coluna_uf),IF(ISERROR(_xlpm.linha_insumo),"",IF(_xlpm.preco_uf&lt;&gt;0,0%,100%))),
IF(AND($A39="INSUMO",$A$8="SEM ENCARGOS SOCIAIS"),_xlfn.LET(_xlpm.linha_insumo,MATCH($B39,'ISE'!$B:$B,0),_xlpm.coluna_uf,MATCH($B$8,'ISE'!$F$10:$AF$10,0),_xlpm.preco_uf,INDEX('ISE'!$F:$AF,_xlpm.linha_insumo,_xlpm.coluna_uf),IF(ISERROR(_xlpm.linha_insumo),"",IF(_xlpm.preco_uf&lt;&gt;0,0%,100%))),
IF(AND($A39="COMPOSICAO",$A$8="SEM DESONERAÇÃO"),_xlfn.XLOOKUP($B39,'CSD'!B:B,OFFSET('CSD'!$D:$D,0,1+MATCH($B$8,'CSD'!$E$4:$BF$4,0)),0),
IF(AND($A39="COMPOSICAO",$A$8="COM DESONERAÇÃO"),_xlfn.XLOOKUP($B39,'CCD'!B:B,OFFSET('CCD'!$D:$D,0,1+MATCH($B$8,'CCD'!$E$4:$BF$4,0)),0),
IF(AND($A39="COMPOSICAO",$A$8="SEM ENCARGOS SOCIAIS"),_xlfn.XLOOKUP($B39,'CSE'!B:B,OFFSET('CSE'!$D:$D,0,1+MATCH($B$8,'CSE'!$E$9:$BF$9,0)),0),""
)))))))</f>
        <v>0</v>
      </c>
    </row>
    <row r="40" spans="6:8">
      <c r="F40" s="19" cm="1">
        <f t="array" ref="F40">IF($A40="","",
IF(AND($A40="INSUMO",$A$8="SEM DESONERAÇÃO"),_xlfn.LET(_xlpm.linha_insumo,MATCH($B40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_xlpm.preco_regional_as,INDEX($M:$M,MATCH($B40&amp;"_"&amp;$B$8,$K:$K,0)),
IF(ISERROR(_xlpm.linha_insumo),0,IF(_xlpm.preco_uf&lt;&gt;0,_xlpm.preco_uf,IF(ISNUMBER(_xlpm.preco_regional_as),_xlpm.preco_regional_as,_xlpm.preco_sp)))),
IF(AND($A40="INSUMO",$A$8="COM DESONERAÇÃO"),_xlfn.LET(_xlpm.linha_insumo,MATCH($B40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_xlpm.preco_regional_as,INDEX($N:$N,MATCH($B40&amp;"_"&amp;$B$8,$K:$K,0)),
IF(ISERROR(_xlpm.linha_insumo),0,IF(_xlpm.preco_uf&lt;&gt;0,_xlpm.preco_uf,IF(ISNUMBER(_xlpm.preco_regional_as),_xlpm.preco_regional_as,_xlpm.preco_sp)))),
IF(AND($A40="INSUMO",$A$8="SEM ENCARGOS SOCIAIS"),_xlfn.LET(_xlpm.linha_insumo,MATCH($B40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_xlpm.preco_regional_as,INDEX($L:$L,MATCH($B40&amp;"_"&amp;$B$8,$K:$K,0)),
IF(ISERROR(_xlpm.linha_insumo),0,IF(_xlpm.preco_uf&lt;&gt;0,_xlpm.preco_uf,IF(ISNUMBER(_xlpm.preco_regional_as),_xlpm.preco_regional_as,_xlpm.preco_sp)))),
IF(AND($A40="COMPOSICAO",$A$8="SEM DESONERAÇÃO"),_xlfn.XLOOKUP($B40,'CSD'!B:B,OFFSET('CSD'!$D:$D,0,MATCH($B$8,'CSD'!$E$4:$BF$4,0)),0),
IF(AND($A40="COMPOSICAO",$A$8="COM DESONERAÇÃO"),_xlfn.XLOOKUP($B40,'CCD'!B:B,OFFSET('CCD'!$D:$D,0,MATCH($B$8,'CCD'!$E$4:$BF$4,0)),0),
IF(AND($A40="COMPOSICAO",$A$8="SEM ENCARGOS SOCIAIS"),_xlfn.XLOOKUP($B40,'CSE'!B:B,OFFSET('CSE'!$D:$D,0,MATCH($B$8,'CSE'!$E$9:$BF$9,0)),0),""
)))))))</f>
        <v>0</v>
      </c>
      <c r="G40" s="19">
        <f>IF($A40="","",TRUNC(E40*F40,2))</f>
        <v>0</v>
      </c>
      <c r="H40" s="20" cm="1">
        <f t="array" ref="H40">IF($A40="","",
IF(AND($A40="INSUMO",$A$8="SEM DESONERAÇÃO"),_xlfn.LET(_xlpm.linha_insumo,MATCH($B40,'ISD'!$B:$B,0),_xlpm.coluna_uf,MATCH($B$8,'ISD'!$F$4:$AF$4,0),_xlpm.preco_uf,INDEX('ISD'!$F:$AF,_xlpm.linha_insumo,_xlpm.coluna_uf),IF(ISERROR(_xlpm.linha_insumo),"",IF(_xlpm.preco_uf&lt;&gt;0,0%,100%))),
IF(AND($A40="INSUMO",$A$8="COM DESONERAÇÃO"),_xlfn.LET(_xlpm.linha_insumo,MATCH($B40,'ICD'!$B:$B,0),_xlpm.coluna_uf,MATCH($B$8,'ICD'!$F$4:$AF$4,0),_xlpm.preco_uf,INDEX('ICD'!$F:$AF,_xlpm.linha_insumo,_xlpm.coluna_uf),IF(ISERROR(_xlpm.linha_insumo),"",IF(_xlpm.preco_uf&lt;&gt;0,0%,100%))),
IF(AND($A40="INSUMO",$A$8="SEM ENCARGOS SOCIAIS"),_xlfn.LET(_xlpm.linha_insumo,MATCH($B40,'ISE'!$B:$B,0),_xlpm.coluna_uf,MATCH($B$8,'ISE'!$F$10:$AF$10,0),_xlpm.preco_uf,INDEX('ISE'!$F:$AF,_xlpm.linha_insumo,_xlpm.coluna_uf),IF(ISERROR(_xlpm.linha_insumo),"",IF(_xlpm.preco_uf&lt;&gt;0,0%,100%))),
IF(AND($A40="COMPOSICAO",$A$8="SEM DESONERAÇÃO"),_xlfn.XLOOKUP($B40,'CSD'!B:B,OFFSET('CSD'!$D:$D,0,1+MATCH($B$8,'CSD'!$E$4:$BF$4,0)),0),
IF(AND($A40="COMPOSICAO",$A$8="COM DESONERAÇÃO"),_xlfn.XLOOKUP($B40,'CCD'!B:B,OFFSET('CCD'!$D:$D,0,1+MATCH($B$8,'CCD'!$E$4:$BF$4,0)),0),
IF(AND($A40="COMPOSICAO",$A$8="SEM ENCARGOS SOCIAIS"),_xlfn.XLOOKUP($B40,'CSE'!B:B,OFFSET('CSE'!$D:$D,0,1+MATCH($B$8,'CSE'!$E$9:$BF$9,0)),0),""
)))))))</f>
        <v>0</v>
      </c>
    </row>
    <row r="41" spans="6:8">
      <c r="F41" s="19" cm="1">
        <f t="array" ref="F41">IF($A41="","",
IF(AND($A41="INSUMO",$A$8="SEM DESONERAÇÃO"),_xlfn.LET(_xlpm.linha_insumo,MATCH($B41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_xlpm.preco_regional_as,INDEX($M:$M,MATCH($B41&amp;"_"&amp;$B$8,$K:$K,0)),
IF(ISERROR(_xlpm.linha_insumo),0,IF(_xlpm.preco_uf&lt;&gt;0,_xlpm.preco_uf,IF(ISNUMBER(_xlpm.preco_regional_as),_xlpm.preco_regional_as,_xlpm.preco_sp)))),
IF(AND($A41="INSUMO",$A$8="COM DESONERAÇÃO"),_xlfn.LET(_xlpm.linha_insumo,MATCH($B41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_xlpm.preco_regional_as,INDEX($N:$N,MATCH($B41&amp;"_"&amp;$B$8,$K:$K,0)),
IF(ISERROR(_xlpm.linha_insumo),0,IF(_xlpm.preco_uf&lt;&gt;0,_xlpm.preco_uf,IF(ISNUMBER(_xlpm.preco_regional_as),_xlpm.preco_regional_as,_xlpm.preco_sp)))),
IF(AND($A41="INSUMO",$A$8="SEM ENCARGOS SOCIAIS"),_xlfn.LET(_xlpm.linha_insumo,MATCH($B41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_xlpm.preco_regional_as,INDEX($L:$L,MATCH($B41&amp;"_"&amp;$B$8,$K:$K,0)),
IF(ISERROR(_xlpm.linha_insumo),0,IF(_xlpm.preco_uf&lt;&gt;0,_xlpm.preco_uf,IF(ISNUMBER(_xlpm.preco_regional_as),_xlpm.preco_regional_as,_xlpm.preco_sp)))),
IF(AND($A41="COMPOSICAO",$A$8="SEM DESONERAÇÃO"),_xlfn.XLOOKUP($B41,'CSD'!B:B,OFFSET('CSD'!$D:$D,0,MATCH($B$8,'CSD'!$E$4:$BF$4,0)),0),
IF(AND($A41="COMPOSICAO",$A$8="COM DESONERAÇÃO"),_xlfn.XLOOKUP($B41,'CCD'!B:B,OFFSET('CCD'!$D:$D,0,MATCH($B$8,'CCD'!$E$4:$BF$4,0)),0),
IF(AND($A41="COMPOSICAO",$A$8="SEM ENCARGOS SOCIAIS"),_xlfn.XLOOKUP($B41,'CSE'!B:B,OFFSET('CSE'!$D:$D,0,MATCH($B$8,'CSE'!$E$9:$BF$9,0)),0),""
)))))))</f>
        <v>0</v>
      </c>
      <c r="G41" s="19">
        <f>IF($A41="","",TRUNC(E41*F41,2))</f>
        <v>0</v>
      </c>
      <c r="H41" s="20" cm="1">
        <f t="array" ref="H41">IF($A41="","",
IF(AND($A41="INSUMO",$A$8="SEM DESONERAÇÃO"),_xlfn.LET(_xlpm.linha_insumo,MATCH($B41,'ISD'!$B:$B,0),_xlpm.coluna_uf,MATCH($B$8,'ISD'!$F$4:$AF$4,0),_xlpm.preco_uf,INDEX('ISD'!$F:$AF,_xlpm.linha_insumo,_xlpm.coluna_uf),IF(ISERROR(_xlpm.linha_insumo),"",IF(_xlpm.preco_uf&lt;&gt;0,0%,100%))),
IF(AND($A41="INSUMO",$A$8="COM DESONERAÇÃO"),_xlfn.LET(_xlpm.linha_insumo,MATCH($B41,'ICD'!$B:$B,0),_xlpm.coluna_uf,MATCH($B$8,'ICD'!$F$4:$AF$4,0),_xlpm.preco_uf,INDEX('ICD'!$F:$AF,_xlpm.linha_insumo,_xlpm.coluna_uf),IF(ISERROR(_xlpm.linha_insumo),"",IF(_xlpm.preco_uf&lt;&gt;0,0%,100%))),
IF(AND($A41="INSUMO",$A$8="SEM ENCARGOS SOCIAIS"),_xlfn.LET(_xlpm.linha_insumo,MATCH($B41,'ISE'!$B:$B,0),_xlpm.coluna_uf,MATCH($B$8,'ISE'!$F$10:$AF$10,0),_xlpm.preco_uf,INDEX('ISE'!$F:$AF,_xlpm.linha_insumo,_xlpm.coluna_uf),IF(ISERROR(_xlpm.linha_insumo),"",IF(_xlpm.preco_uf&lt;&gt;0,0%,100%))),
IF(AND($A41="COMPOSICAO",$A$8="SEM DESONERAÇÃO"),_xlfn.XLOOKUP($B41,'CSD'!B:B,OFFSET('CSD'!$D:$D,0,1+MATCH($B$8,'CSD'!$E$4:$BF$4,0)),0),
IF(AND($A41="COMPOSICAO",$A$8="COM DESONERAÇÃO"),_xlfn.XLOOKUP($B41,'CCD'!B:B,OFFSET('CCD'!$D:$D,0,1+MATCH($B$8,'CCD'!$E$4:$BF$4,0)),0),
IF(AND($A41="COMPOSICAO",$A$8="SEM ENCARGOS SOCIAIS"),_xlfn.XLOOKUP($B41,'CSE'!B:B,OFFSET('CSE'!$D:$D,0,1+MATCH($B$8,'CSE'!$E$9:$BF$9,0)),0),""
)))))))</f>
        <v>0</v>
      </c>
    </row>
    <row r="42" spans="6:8">
      <c r="F42" s="19" cm="1">
        <f t="array" ref="F42">IF($A42="","",
IF(AND($A42="INSUMO",$A$8="SEM DESONERAÇÃO"),_xlfn.LET(_xlpm.linha_insumo,MATCH($B42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_xlpm.preco_regional_as,INDEX($M:$M,MATCH($B42&amp;"_"&amp;$B$8,$K:$K,0)),
IF(ISERROR(_xlpm.linha_insumo),0,IF(_xlpm.preco_uf&lt;&gt;0,_xlpm.preco_uf,IF(ISNUMBER(_xlpm.preco_regional_as),_xlpm.preco_regional_as,_xlpm.preco_sp)))),
IF(AND($A42="INSUMO",$A$8="COM DESONERAÇÃO"),_xlfn.LET(_xlpm.linha_insumo,MATCH($B42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_xlpm.preco_regional_as,INDEX($N:$N,MATCH($B42&amp;"_"&amp;$B$8,$K:$K,0)),
IF(ISERROR(_xlpm.linha_insumo),0,IF(_xlpm.preco_uf&lt;&gt;0,_xlpm.preco_uf,IF(ISNUMBER(_xlpm.preco_regional_as),_xlpm.preco_regional_as,_xlpm.preco_sp)))),
IF(AND($A42="INSUMO",$A$8="SEM ENCARGOS SOCIAIS"),_xlfn.LET(_xlpm.linha_insumo,MATCH($B42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_xlpm.preco_regional_as,INDEX($L:$L,MATCH($B42&amp;"_"&amp;$B$8,$K:$K,0)),
IF(ISERROR(_xlpm.linha_insumo),0,IF(_xlpm.preco_uf&lt;&gt;0,_xlpm.preco_uf,IF(ISNUMBER(_xlpm.preco_regional_as),_xlpm.preco_regional_as,_xlpm.preco_sp)))),
IF(AND($A42="COMPOSICAO",$A$8="SEM DESONERAÇÃO"),_xlfn.XLOOKUP($B42,'CSD'!B:B,OFFSET('CSD'!$D:$D,0,MATCH($B$8,'CSD'!$E$4:$BF$4,0)),0),
IF(AND($A42="COMPOSICAO",$A$8="COM DESONERAÇÃO"),_xlfn.XLOOKUP($B42,'CCD'!B:B,OFFSET('CCD'!$D:$D,0,MATCH($B$8,'CCD'!$E$4:$BF$4,0)),0),
IF(AND($A42="COMPOSICAO",$A$8="SEM ENCARGOS SOCIAIS"),_xlfn.XLOOKUP($B42,'CSE'!B:B,OFFSET('CSE'!$D:$D,0,MATCH($B$8,'CSE'!$E$9:$BF$9,0)),0),""
)))))))</f>
        <v>0</v>
      </c>
      <c r="G42" s="19">
        <f>IF($A42="","",TRUNC(E42*F42,2))</f>
        <v>0</v>
      </c>
      <c r="H42" s="20" cm="1">
        <f t="array" ref="H42">IF($A42="","",
IF(AND($A42="INSUMO",$A$8="SEM DESONERAÇÃO"),_xlfn.LET(_xlpm.linha_insumo,MATCH($B42,'ISD'!$B:$B,0),_xlpm.coluna_uf,MATCH($B$8,'ISD'!$F$4:$AF$4,0),_xlpm.preco_uf,INDEX('ISD'!$F:$AF,_xlpm.linha_insumo,_xlpm.coluna_uf),IF(ISERROR(_xlpm.linha_insumo),"",IF(_xlpm.preco_uf&lt;&gt;0,0%,100%))),
IF(AND($A42="INSUMO",$A$8="COM DESONERAÇÃO"),_xlfn.LET(_xlpm.linha_insumo,MATCH($B42,'ICD'!$B:$B,0),_xlpm.coluna_uf,MATCH($B$8,'ICD'!$F$4:$AF$4,0),_xlpm.preco_uf,INDEX('ICD'!$F:$AF,_xlpm.linha_insumo,_xlpm.coluna_uf),IF(ISERROR(_xlpm.linha_insumo),"",IF(_xlpm.preco_uf&lt;&gt;0,0%,100%))),
IF(AND($A42="INSUMO",$A$8="SEM ENCARGOS SOCIAIS"),_xlfn.LET(_xlpm.linha_insumo,MATCH($B42,'ISE'!$B:$B,0),_xlpm.coluna_uf,MATCH($B$8,'ISE'!$F$10:$AF$10,0),_xlpm.preco_uf,INDEX('ISE'!$F:$AF,_xlpm.linha_insumo,_xlpm.coluna_uf),IF(ISERROR(_xlpm.linha_insumo),"",IF(_xlpm.preco_uf&lt;&gt;0,0%,100%))),
IF(AND($A42="COMPOSICAO",$A$8="SEM DESONERAÇÃO"),_xlfn.XLOOKUP($B42,'CSD'!B:B,OFFSET('CSD'!$D:$D,0,1+MATCH($B$8,'CSD'!$E$4:$BF$4,0)),0),
IF(AND($A42="COMPOSICAO",$A$8="COM DESONERAÇÃO"),_xlfn.XLOOKUP($B42,'CCD'!B:B,OFFSET('CCD'!$D:$D,0,1+MATCH($B$8,'CCD'!$E$4:$BF$4,0)),0),
IF(AND($A42="COMPOSICAO",$A$8="SEM ENCARGOS SOCIAIS"),_xlfn.XLOOKUP($B42,'CSE'!B:B,OFFSET('CSE'!$D:$D,0,1+MATCH($B$8,'CSE'!$E$9:$BF$9,0)),0),""
)))))))</f>
        <v>0</v>
      </c>
    </row>
    <row r="43" spans="6:8">
      <c r="F43" s="19" cm="1">
        <f t="array" ref="F43">IF($A43="","",
IF(AND($A43="INSUMO",$A$8="SEM DESONERAÇÃO"),_xlfn.LET(_xlpm.linha_insumo,MATCH($B43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_xlpm.preco_regional_as,INDEX($M:$M,MATCH($B43&amp;"_"&amp;$B$8,$K:$K,0)),
IF(ISERROR(_xlpm.linha_insumo),0,IF(_xlpm.preco_uf&lt;&gt;0,_xlpm.preco_uf,IF(ISNUMBER(_xlpm.preco_regional_as),_xlpm.preco_regional_as,_xlpm.preco_sp)))),
IF(AND($A43="INSUMO",$A$8="COM DESONERAÇÃO"),_xlfn.LET(_xlpm.linha_insumo,MATCH($B43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_xlpm.preco_regional_as,INDEX($N:$N,MATCH($B43&amp;"_"&amp;$B$8,$K:$K,0)),
IF(ISERROR(_xlpm.linha_insumo),0,IF(_xlpm.preco_uf&lt;&gt;0,_xlpm.preco_uf,IF(ISNUMBER(_xlpm.preco_regional_as),_xlpm.preco_regional_as,_xlpm.preco_sp)))),
IF(AND($A43="INSUMO",$A$8="SEM ENCARGOS SOCIAIS"),_xlfn.LET(_xlpm.linha_insumo,MATCH($B43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_xlpm.preco_regional_as,INDEX($L:$L,MATCH($B43&amp;"_"&amp;$B$8,$K:$K,0)),
IF(ISERROR(_xlpm.linha_insumo),0,IF(_xlpm.preco_uf&lt;&gt;0,_xlpm.preco_uf,IF(ISNUMBER(_xlpm.preco_regional_as),_xlpm.preco_regional_as,_xlpm.preco_sp)))),
IF(AND($A43="COMPOSICAO",$A$8="SEM DESONERAÇÃO"),_xlfn.XLOOKUP($B43,'CSD'!B:B,OFFSET('CSD'!$D:$D,0,MATCH($B$8,'CSD'!$E$4:$BF$4,0)),0),
IF(AND($A43="COMPOSICAO",$A$8="COM DESONERAÇÃO"),_xlfn.XLOOKUP($B43,'CCD'!B:B,OFFSET('CCD'!$D:$D,0,MATCH($B$8,'CCD'!$E$4:$BF$4,0)),0),
IF(AND($A43="COMPOSICAO",$A$8="SEM ENCARGOS SOCIAIS"),_xlfn.XLOOKUP($B43,'CSE'!B:B,OFFSET('CSE'!$D:$D,0,MATCH($B$8,'CSE'!$E$9:$BF$9,0)),0),""
)))))))</f>
        <v>0</v>
      </c>
      <c r="G43" s="19">
        <f>IF($A43="","",TRUNC(E43*F43,2))</f>
        <v>0</v>
      </c>
      <c r="H43" s="20" cm="1">
        <f t="array" ref="H43">IF($A43="","",
IF(AND($A43="INSUMO",$A$8="SEM DESONERAÇÃO"),_xlfn.LET(_xlpm.linha_insumo,MATCH($B43,'ISD'!$B:$B,0),_xlpm.coluna_uf,MATCH($B$8,'ISD'!$F$4:$AF$4,0),_xlpm.preco_uf,INDEX('ISD'!$F:$AF,_xlpm.linha_insumo,_xlpm.coluna_uf),IF(ISERROR(_xlpm.linha_insumo),"",IF(_xlpm.preco_uf&lt;&gt;0,0%,100%))),
IF(AND($A43="INSUMO",$A$8="COM DESONERAÇÃO"),_xlfn.LET(_xlpm.linha_insumo,MATCH($B43,'ICD'!$B:$B,0),_xlpm.coluna_uf,MATCH($B$8,'ICD'!$F$4:$AF$4,0),_xlpm.preco_uf,INDEX('ICD'!$F:$AF,_xlpm.linha_insumo,_xlpm.coluna_uf),IF(ISERROR(_xlpm.linha_insumo),"",IF(_xlpm.preco_uf&lt;&gt;0,0%,100%))),
IF(AND($A43="INSUMO",$A$8="SEM ENCARGOS SOCIAIS"),_xlfn.LET(_xlpm.linha_insumo,MATCH($B43,'ISE'!$B:$B,0),_xlpm.coluna_uf,MATCH($B$8,'ISE'!$F$10:$AF$10,0),_xlpm.preco_uf,INDEX('ISE'!$F:$AF,_xlpm.linha_insumo,_xlpm.coluna_uf),IF(ISERROR(_xlpm.linha_insumo),"",IF(_xlpm.preco_uf&lt;&gt;0,0%,100%))),
IF(AND($A43="COMPOSICAO",$A$8="SEM DESONERAÇÃO"),_xlfn.XLOOKUP($B43,'CSD'!B:B,OFFSET('CSD'!$D:$D,0,1+MATCH($B$8,'CSD'!$E$4:$BF$4,0)),0),
IF(AND($A43="COMPOSICAO",$A$8="COM DESONERAÇÃO"),_xlfn.XLOOKUP($B43,'CCD'!B:B,OFFSET('CCD'!$D:$D,0,1+MATCH($B$8,'CCD'!$E$4:$BF$4,0)),0),
IF(AND($A43="COMPOSICAO",$A$8="SEM ENCARGOS SOCIAIS"),_xlfn.XLOOKUP($B43,'CSE'!B:B,OFFSET('CSE'!$D:$D,0,1+MATCH($B$8,'CSE'!$E$9:$BF$9,0)),0),""
)))))))</f>
        <v>0</v>
      </c>
    </row>
    <row r="44" spans="6:8">
      <c r="F44" s="19" cm="1">
        <f t="array" ref="F44">IF($A44="","",
IF(AND($A44="INSUMO",$A$8="SEM DESONERAÇÃO"),_xlfn.LET(_xlpm.linha_insumo,MATCH($B44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_xlpm.preco_regional_as,INDEX($M:$M,MATCH($B44&amp;"_"&amp;$B$8,$K:$K,0)),
IF(ISERROR(_xlpm.linha_insumo),0,IF(_xlpm.preco_uf&lt;&gt;0,_xlpm.preco_uf,IF(ISNUMBER(_xlpm.preco_regional_as),_xlpm.preco_regional_as,_xlpm.preco_sp)))),
IF(AND($A44="INSUMO",$A$8="COM DESONERAÇÃO"),_xlfn.LET(_xlpm.linha_insumo,MATCH($B44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_xlpm.preco_regional_as,INDEX($N:$N,MATCH($B44&amp;"_"&amp;$B$8,$K:$K,0)),
IF(ISERROR(_xlpm.linha_insumo),0,IF(_xlpm.preco_uf&lt;&gt;0,_xlpm.preco_uf,IF(ISNUMBER(_xlpm.preco_regional_as),_xlpm.preco_regional_as,_xlpm.preco_sp)))),
IF(AND($A44="INSUMO",$A$8="SEM ENCARGOS SOCIAIS"),_xlfn.LET(_xlpm.linha_insumo,MATCH($B44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_xlpm.preco_regional_as,INDEX($L:$L,MATCH($B44&amp;"_"&amp;$B$8,$K:$K,0)),
IF(ISERROR(_xlpm.linha_insumo),0,IF(_xlpm.preco_uf&lt;&gt;0,_xlpm.preco_uf,IF(ISNUMBER(_xlpm.preco_regional_as),_xlpm.preco_regional_as,_xlpm.preco_sp)))),
IF(AND($A44="COMPOSICAO",$A$8="SEM DESONERAÇÃO"),_xlfn.XLOOKUP($B44,'CSD'!B:B,OFFSET('CSD'!$D:$D,0,MATCH($B$8,'CSD'!$E$4:$BF$4,0)),0),
IF(AND($A44="COMPOSICAO",$A$8="COM DESONERAÇÃO"),_xlfn.XLOOKUP($B44,'CCD'!B:B,OFFSET('CCD'!$D:$D,0,MATCH($B$8,'CCD'!$E$4:$BF$4,0)),0),
IF(AND($A44="COMPOSICAO",$A$8="SEM ENCARGOS SOCIAIS"),_xlfn.XLOOKUP($B44,'CSE'!B:B,OFFSET('CSE'!$D:$D,0,MATCH($B$8,'CSE'!$E$9:$BF$9,0)),0),""
)))))))</f>
        <v>0</v>
      </c>
      <c r="G44" s="19">
        <f>IF($A44="","",TRUNC(E44*F44,2))</f>
        <v>0</v>
      </c>
      <c r="H44" s="20" cm="1">
        <f t="array" ref="H44">IF($A44="","",
IF(AND($A44="INSUMO",$A$8="SEM DESONERAÇÃO"),_xlfn.LET(_xlpm.linha_insumo,MATCH($B44,'ISD'!$B:$B,0),_xlpm.coluna_uf,MATCH($B$8,'ISD'!$F$4:$AF$4,0),_xlpm.preco_uf,INDEX('ISD'!$F:$AF,_xlpm.linha_insumo,_xlpm.coluna_uf),IF(ISERROR(_xlpm.linha_insumo),"",IF(_xlpm.preco_uf&lt;&gt;0,0%,100%))),
IF(AND($A44="INSUMO",$A$8="COM DESONERAÇÃO"),_xlfn.LET(_xlpm.linha_insumo,MATCH($B44,'ICD'!$B:$B,0),_xlpm.coluna_uf,MATCH($B$8,'ICD'!$F$4:$AF$4,0),_xlpm.preco_uf,INDEX('ICD'!$F:$AF,_xlpm.linha_insumo,_xlpm.coluna_uf),IF(ISERROR(_xlpm.linha_insumo),"",IF(_xlpm.preco_uf&lt;&gt;0,0%,100%))),
IF(AND($A44="INSUMO",$A$8="SEM ENCARGOS SOCIAIS"),_xlfn.LET(_xlpm.linha_insumo,MATCH($B44,'ISE'!$B:$B,0),_xlpm.coluna_uf,MATCH($B$8,'ISE'!$F$10:$AF$10,0),_xlpm.preco_uf,INDEX('ISE'!$F:$AF,_xlpm.linha_insumo,_xlpm.coluna_uf),IF(ISERROR(_xlpm.linha_insumo),"",IF(_xlpm.preco_uf&lt;&gt;0,0%,100%))),
IF(AND($A44="COMPOSICAO",$A$8="SEM DESONERAÇÃO"),_xlfn.XLOOKUP($B44,'CSD'!B:B,OFFSET('CSD'!$D:$D,0,1+MATCH($B$8,'CSD'!$E$4:$BF$4,0)),0),
IF(AND($A44="COMPOSICAO",$A$8="COM DESONERAÇÃO"),_xlfn.XLOOKUP($B44,'CCD'!B:B,OFFSET('CCD'!$D:$D,0,1+MATCH($B$8,'CCD'!$E$4:$BF$4,0)),0),
IF(AND($A44="COMPOSICAO",$A$8="SEM ENCARGOS SOCIAIS"),_xlfn.XLOOKUP($B44,'CSE'!B:B,OFFSET('CSE'!$D:$D,0,1+MATCH($B$8,'CSE'!$E$9:$BF$9,0)),0),""
)))))))</f>
        <v>0</v>
      </c>
    </row>
    <row r="45" spans="6:8">
      <c r="F45" s="19" cm="1">
        <f t="array" ref="F45">IF($A45="","",
IF(AND($A45="INSUMO",$A$8="SEM DESONERAÇÃO"),_xlfn.LET(_xlpm.linha_insumo,MATCH($B45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_xlpm.preco_regional_as,INDEX($M:$M,MATCH($B45&amp;"_"&amp;$B$8,$K:$K,0)),
IF(ISERROR(_xlpm.linha_insumo),0,IF(_xlpm.preco_uf&lt;&gt;0,_xlpm.preco_uf,IF(ISNUMBER(_xlpm.preco_regional_as),_xlpm.preco_regional_as,_xlpm.preco_sp)))),
IF(AND($A45="INSUMO",$A$8="COM DESONERAÇÃO"),_xlfn.LET(_xlpm.linha_insumo,MATCH($B45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_xlpm.preco_regional_as,INDEX($N:$N,MATCH($B45&amp;"_"&amp;$B$8,$K:$K,0)),
IF(ISERROR(_xlpm.linha_insumo),0,IF(_xlpm.preco_uf&lt;&gt;0,_xlpm.preco_uf,IF(ISNUMBER(_xlpm.preco_regional_as),_xlpm.preco_regional_as,_xlpm.preco_sp)))),
IF(AND($A45="INSUMO",$A$8="SEM ENCARGOS SOCIAIS"),_xlfn.LET(_xlpm.linha_insumo,MATCH($B45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_xlpm.preco_regional_as,INDEX($L:$L,MATCH($B45&amp;"_"&amp;$B$8,$K:$K,0)),
IF(ISERROR(_xlpm.linha_insumo),0,IF(_xlpm.preco_uf&lt;&gt;0,_xlpm.preco_uf,IF(ISNUMBER(_xlpm.preco_regional_as),_xlpm.preco_regional_as,_xlpm.preco_sp)))),
IF(AND($A45="COMPOSICAO",$A$8="SEM DESONERAÇÃO"),_xlfn.XLOOKUP($B45,'CSD'!B:B,OFFSET('CSD'!$D:$D,0,MATCH($B$8,'CSD'!$E$4:$BF$4,0)),0),
IF(AND($A45="COMPOSICAO",$A$8="COM DESONERAÇÃO"),_xlfn.XLOOKUP($B45,'CCD'!B:B,OFFSET('CCD'!$D:$D,0,MATCH($B$8,'CCD'!$E$4:$BF$4,0)),0),
IF(AND($A45="COMPOSICAO",$A$8="SEM ENCARGOS SOCIAIS"),_xlfn.XLOOKUP($B45,'CSE'!B:B,OFFSET('CSE'!$D:$D,0,MATCH($B$8,'CSE'!$E$9:$BF$9,0)),0),""
)))))))</f>
        <v>0</v>
      </c>
      <c r="G45" s="19">
        <f>IF($A45="","",TRUNC(E45*F45,2))</f>
        <v>0</v>
      </c>
      <c r="H45" s="20" cm="1">
        <f t="array" ref="H45">IF($A45="","",
IF(AND($A45="INSUMO",$A$8="SEM DESONERAÇÃO"),_xlfn.LET(_xlpm.linha_insumo,MATCH($B45,'ISD'!$B:$B,0),_xlpm.coluna_uf,MATCH($B$8,'ISD'!$F$4:$AF$4,0),_xlpm.preco_uf,INDEX('ISD'!$F:$AF,_xlpm.linha_insumo,_xlpm.coluna_uf),IF(ISERROR(_xlpm.linha_insumo),"",IF(_xlpm.preco_uf&lt;&gt;0,0%,100%))),
IF(AND($A45="INSUMO",$A$8="COM DESONERAÇÃO"),_xlfn.LET(_xlpm.linha_insumo,MATCH($B45,'ICD'!$B:$B,0),_xlpm.coluna_uf,MATCH($B$8,'ICD'!$F$4:$AF$4,0),_xlpm.preco_uf,INDEX('ICD'!$F:$AF,_xlpm.linha_insumo,_xlpm.coluna_uf),IF(ISERROR(_xlpm.linha_insumo),"",IF(_xlpm.preco_uf&lt;&gt;0,0%,100%))),
IF(AND($A45="INSUMO",$A$8="SEM ENCARGOS SOCIAIS"),_xlfn.LET(_xlpm.linha_insumo,MATCH($B45,'ISE'!$B:$B,0),_xlpm.coluna_uf,MATCH($B$8,'ISE'!$F$10:$AF$10,0),_xlpm.preco_uf,INDEX('ISE'!$F:$AF,_xlpm.linha_insumo,_xlpm.coluna_uf),IF(ISERROR(_xlpm.linha_insumo),"",IF(_xlpm.preco_uf&lt;&gt;0,0%,100%))),
IF(AND($A45="COMPOSICAO",$A$8="SEM DESONERAÇÃO"),_xlfn.XLOOKUP($B45,'CSD'!B:B,OFFSET('CSD'!$D:$D,0,1+MATCH($B$8,'CSD'!$E$4:$BF$4,0)),0),
IF(AND($A45="COMPOSICAO",$A$8="COM DESONERAÇÃO"),_xlfn.XLOOKUP($B45,'CCD'!B:B,OFFSET('CCD'!$D:$D,0,1+MATCH($B$8,'CCD'!$E$4:$BF$4,0)),0),
IF(AND($A45="COMPOSICAO",$A$8="SEM ENCARGOS SOCIAIS"),_xlfn.XLOOKUP($B45,'CSE'!B:B,OFFSET('CSE'!$D:$D,0,1+MATCH($B$8,'CSE'!$E$9:$BF$9,0)),0),""
)))))))</f>
        <v>0</v>
      </c>
    </row>
    <row r="46" spans="6:8">
      <c r="F46" s="19" cm="1">
        <f t="array" ref="F46">IF($A46="","",
IF(AND($A46="INSUMO",$A$8="SEM DESONERAÇÃO"),_xlfn.LET(_xlpm.linha_insumo,MATCH($B46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_xlpm.preco_regional_as,INDEX($M:$M,MATCH($B46&amp;"_"&amp;$B$8,$K:$K,0)),
IF(ISERROR(_xlpm.linha_insumo),0,IF(_xlpm.preco_uf&lt;&gt;0,_xlpm.preco_uf,IF(ISNUMBER(_xlpm.preco_regional_as),_xlpm.preco_regional_as,_xlpm.preco_sp)))),
IF(AND($A46="INSUMO",$A$8="COM DESONERAÇÃO"),_xlfn.LET(_xlpm.linha_insumo,MATCH($B46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_xlpm.preco_regional_as,INDEX($N:$N,MATCH($B46&amp;"_"&amp;$B$8,$K:$K,0)),
IF(ISERROR(_xlpm.linha_insumo),0,IF(_xlpm.preco_uf&lt;&gt;0,_xlpm.preco_uf,IF(ISNUMBER(_xlpm.preco_regional_as),_xlpm.preco_regional_as,_xlpm.preco_sp)))),
IF(AND($A46="INSUMO",$A$8="SEM ENCARGOS SOCIAIS"),_xlfn.LET(_xlpm.linha_insumo,MATCH($B46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_xlpm.preco_regional_as,INDEX($L:$L,MATCH($B46&amp;"_"&amp;$B$8,$K:$K,0)),
IF(ISERROR(_xlpm.linha_insumo),0,IF(_xlpm.preco_uf&lt;&gt;0,_xlpm.preco_uf,IF(ISNUMBER(_xlpm.preco_regional_as),_xlpm.preco_regional_as,_xlpm.preco_sp)))),
IF(AND($A46="COMPOSICAO",$A$8="SEM DESONERAÇÃO"),_xlfn.XLOOKUP($B46,'CSD'!B:B,OFFSET('CSD'!$D:$D,0,MATCH($B$8,'CSD'!$E$4:$BF$4,0)),0),
IF(AND($A46="COMPOSICAO",$A$8="COM DESONERAÇÃO"),_xlfn.XLOOKUP($B46,'CCD'!B:B,OFFSET('CCD'!$D:$D,0,MATCH($B$8,'CCD'!$E$4:$BF$4,0)),0),
IF(AND($A46="COMPOSICAO",$A$8="SEM ENCARGOS SOCIAIS"),_xlfn.XLOOKUP($B46,'CSE'!B:B,OFFSET('CSE'!$D:$D,0,MATCH($B$8,'CSE'!$E$9:$BF$9,0)),0),""
)))))))</f>
        <v>0</v>
      </c>
      <c r="G46" s="19">
        <f>IF($A46="","",TRUNC(E46*F46,2))</f>
        <v>0</v>
      </c>
      <c r="H46" s="20" cm="1">
        <f t="array" ref="H46">IF($A46="","",
IF(AND($A46="INSUMO",$A$8="SEM DESONERAÇÃO"),_xlfn.LET(_xlpm.linha_insumo,MATCH($B46,'ISD'!$B:$B,0),_xlpm.coluna_uf,MATCH($B$8,'ISD'!$F$4:$AF$4,0),_xlpm.preco_uf,INDEX('ISD'!$F:$AF,_xlpm.linha_insumo,_xlpm.coluna_uf),IF(ISERROR(_xlpm.linha_insumo),"",IF(_xlpm.preco_uf&lt;&gt;0,0%,100%))),
IF(AND($A46="INSUMO",$A$8="COM DESONERAÇÃO"),_xlfn.LET(_xlpm.linha_insumo,MATCH($B46,'ICD'!$B:$B,0),_xlpm.coluna_uf,MATCH($B$8,'ICD'!$F$4:$AF$4,0),_xlpm.preco_uf,INDEX('ICD'!$F:$AF,_xlpm.linha_insumo,_xlpm.coluna_uf),IF(ISERROR(_xlpm.linha_insumo),"",IF(_xlpm.preco_uf&lt;&gt;0,0%,100%))),
IF(AND($A46="INSUMO",$A$8="SEM ENCARGOS SOCIAIS"),_xlfn.LET(_xlpm.linha_insumo,MATCH($B46,'ISE'!$B:$B,0),_xlpm.coluna_uf,MATCH($B$8,'ISE'!$F$10:$AF$10,0),_xlpm.preco_uf,INDEX('ISE'!$F:$AF,_xlpm.linha_insumo,_xlpm.coluna_uf),IF(ISERROR(_xlpm.linha_insumo),"",IF(_xlpm.preco_uf&lt;&gt;0,0%,100%))),
IF(AND($A46="COMPOSICAO",$A$8="SEM DESONERAÇÃO"),_xlfn.XLOOKUP($B46,'CSD'!B:B,OFFSET('CSD'!$D:$D,0,1+MATCH($B$8,'CSD'!$E$4:$BF$4,0)),0),
IF(AND($A46="COMPOSICAO",$A$8="COM DESONERAÇÃO"),_xlfn.XLOOKUP($B46,'CCD'!B:B,OFFSET('CCD'!$D:$D,0,1+MATCH($B$8,'CCD'!$E$4:$BF$4,0)),0),
IF(AND($A46="COMPOSICAO",$A$8="SEM ENCARGOS SOCIAIS"),_xlfn.XLOOKUP($B46,'CSE'!B:B,OFFSET('CSE'!$D:$D,0,1+MATCH($B$8,'CSE'!$E$9:$BF$9,0)),0),""
)))))))</f>
        <v>0</v>
      </c>
    </row>
    <row r="47" spans="6:8">
      <c r="F47" s="19" cm="1">
        <f t="array" ref="F47">IF($A47="","",
IF(AND($A47="INSUMO",$A$8="SEM DESONERAÇÃO"),_xlfn.LET(_xlpm.linha_insumo,MATCH($B47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_xlpm.preco_regional_as,INDEX($M:$M,MATCH($B47&amp;"_"&amp;$B$8,$K:$K,0)),
IF(ISERROR(_xlpm.linha_insumo),0,IF(_xlpm.preco_uf&lt;&gt;0,_xlpm.preco_uf,IF(ISNUMBER(_xlpm.preco_regional_as),_xlpm.preco_regional_as,_xlpm.preco_sp)))),
IF(AND($A47="INSUMO",$A$8="COM DESONERAÇÃO"),_xlfn.LET(_xlpm.linha_insumo,MATCH($B47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_xlpm.preco_regional_as,INDEX($N:$N,MATCH($B47&amp;"_"&amp;$B$8,$K:$K,0)),
IF(ISERROR(_xlpm.linha_insumo),0,IF(_xlpm.preco_uf&lt;&gt;0,_xlpm.preco_uf,IF(ISNUMBER(_xlpm.preco_regional_as),_xlpm.preco_regional_as,_xlpm.preco_sp)))),
IF(AND($A47="INSUMO",$A$8="SEM ENCARGOS SOCIAIS"),_xlfn.LET(_xlpm.linha_insumo,MATCH($B47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_xlpm.preco_regional_as,INDEX($L:$L,MATCH($B47&amp;"_"&amp;$B$8,$K:$K,0)),
IF(ISERROR(_xlpm.linha_insumo),0,IF(_xlpm.preco_uf&lt;&gt;0,_xlpm.preco_uf,IF(ISNUMBER(_xlpm.preco_regional_as),_xlpm.preco_regional_as,_xlpm.preco_sp)))),
IF(AND($A47="COMPOSICAO",$A$8="SEM DESONERAÇÃO"),_xlfn.XLOOKUP($B47,'CSD'!B:B,OFFSET('CSD'!$D:$D,0,MATCH($B$8,'CSD'!$E$4:$BF$4,0)),0),
IF(AND($A47="COMPOSICAO",$A$8="COM DESONERAÇÃO"),_xlfn.XLOOKUP($B47,'CCD'!B:B,OFFSET('CCD'!$D:$D,0,MATCH($B$8,'CCD'!$E$4:$BF$4,0)),0),
IF(AND($A47="COMPOSICAO",$A$8="SEM ENCARGOS SOCIAIS"),_xlfn.XLOOKUP($B47,'CSE'!B:B,OFFSET('CSE'!$D:$D,0,MATCH($B$8,'CSE'!$E$9:$BF$9,0)),0),""
)))))))</f>
        <v>0</v>
      </c>
      <c r="G47" s="19">
        <f>IF($A47="","",TRUNC(E47*F47,2))</f>
        <v>0</v>
      </c>
      <c r="H47" s="20" cm="1">
        <f t="array" ref="H47">IF($A47="","",
IF(AND($A47="INSUMO",$A$8="SEM DESONERAÇÃO"),_xlfn.LET(_xlpm.linha_insumo,MATCH($B47,'ISD'!$B:$B,0),_xlpm.coluna_uf,MATCH($B$8,'ISD'!$F$4:$AF$4,0),_xlpm.preco_uf,INDEX('ISD'!$F:$AF,_xlpm.linha_insumo,_xlpm.coluna_uf),IF(ISERROR(_xlpm.linha_insumo),"",IF(_xlpm.preco_uf&lt;&gt;0,0%,100%))),
IF(AND($A47="INSUMO",$A$8="COM DESONERAÇÃO"),_xlfn.LET(_xlpm.linha_insumo,MATCH($B47,'ICD'!$B:$B,0),_xlpm.coluna_uf,MATCH($B$8,'ICD'!$F$4:$AF$4,0),_xlpm.preco_uf,INDEX('ICD'!$F:$AF,_xlpm.linha_insumo,_xlpm.coluna_uf),IF(ISERROR(_xlpm.linha_insumo),"",IF(_xlpm.preco_uf&lt;&gt;0,0%,100%))),
IF(AND($A47="INSUMO",$A$8="SEM ENCARGOS SOCIAIS"),_xlfn.LET(_xlpm.linha_insumo,MATCH($B47,'ISE'!$B:$B,0),_xlpm.coluna_uf,MATCH($B$8,'ISE'!$F$10:$AF$10,0),_xlpm.preco_uf,INDEX('ISE'!$F:$AF,_xlpm.linha_insumo,_xlpm.coluna_uf),IF(ISERROR(_xlpm.linha_insumo),"",IF(_xlpm.preco_uf&lt;&gt;0,0%,100%))),
IF(AND($A47="COMPOSICAO",$A$8="SEM DESONERAÇÃO"),_xlfn.XLOOKUP($B47,'CSD'!B:B,OFFSET('CSD'!$D:$D,0,1+MATCH($B$8,'CSD'!$E$4:$BF$4,0)),0),
IF(AND($A47="COMPOSICAO",$A$8="COM DESONERAÇÃO"),_xlfn.XLOOKUP($B47,'CCD'!B:B,OFFSET('CCD'!$D:$D,0,1+MATCH($B$8,'CCD'!$E$4:$BF$4,0)),0),
IF(AND($A47="COMPOSICAO",$A$8="SEM ENCARGOS SOCIAIS"),_xlfn.XLOOKUP($B47,'CSE'!B:B,OFFSET('CSE'!$D:$D,0,1+MATCH($B$8,'CSE'!$E$9:$BF$9,0)),0),""
)))))))</f>
        <v>0</v>
      </c>
    </row>
    <row r="48" spans="6:8">
      <c r="F48" s="19" cm="1">
        <f t="array" ref="F48">IF($A48="","",
IF(AND($A48="INSUMO",$A$8="SEM DESONERAÇÃO"),_xlfn.LET(_xlpm.linha_insumo,MATCH($B48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_xlpm.preco_regional_as,INDEX($M:$M,MATCH($B48&amp;"_"&amp;$B$8,$K:$K,0)),
IF(ISERROR(_xlpm.linha_insumo),0,IF(_xlpm.preco_uf&lt;&gt;0,_xlpm.preco_uf,IF(ISNUMBER(_xlpm.preco_regional_as),_xlpm.preco_regional_as,_xlpm.preco_sp)))),
IF(AND($A48="INSUMO",$A$8="COM DESONERAÇÃO"),_xlfn.LET(_xlpm.linha_insumo,MATCH($B48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_xlpm.preco_regional_as,INDEX($N:$N,MATCH($B48&amp;"_"&amp;$B$8,$K:$K,0)),
IF(ISERROR(_xlpm.linha_insumo),0,IF(_xlpm.preco_uf&lt;&gt;0,_xlpm.preco_uf,IF(ISNUMBER(_xlpm.preco_regional_as),_xlpm.preco_regional_as,_xlpm.preco_sp)))),
IF(AND($A48="INSUMO",$A$8="SEM ENCARGOS SOCIAIS"),_xlfn.LET(_xlpm.linha_insumo,MATCH($B48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_xlpm.preco_regional_as,INDEX($L:$L,MATCH($B48&amp;"_"&amp;$B$8,$K:$K,0)),
IF(ISERROR(_xlpm.linha_insumo),0,IF(_xlpm.preco_uf&lt;&gt;0,_xlpm.preco_uf,IF(ISNUMBER(_xlpm.preco_regional_as),_xlpm.preco_regional_as,_xlpm.preco_sp)))),
IF(AND($A48="COMPOSICAO",$A$8="SEM DESONERAÇÃO"),_xlfn.XLOOKUP($B48,'CSD'!B:B,OFFSET('CSD'!$D:$D,0,MATCH($B$8,'CSD'!$E$4:$BF$4,0)),0),
IF(AND($A48="COMPOSICAO",$A$8="COM DESONERAÇÃO"),_xlfn.XLOOKUP($B48,'CCD'!B:B,OFFSET('CCD'!$D:$D,0,MATCH($B$8,'CCD'!$E$4:$BF$4,0)),0),
IF(AND($A48="COMPOSICAO",$A$8="SEM ENCARGOS SOCIAIS"),_xlfn.XLOOKUP($B48,'CSE'!B:B,OFFSET('CSE'!$D:$D,0,MATCH($B$8,'CSE'!$E$9:$BF$9,0)),0),""
)))))))</f>
        <v>0</v>
      </c>
      <c r="G48" s="19">
        <f>IF($A48="","",TRUNC(E48*F48,2))</f>
        <v>0</v>
      </c>
      <c r="H48" s="20" cm="1">
        <f t="array" ref="H48">IF($A48="","",
IF(AND($A48="INSUMO",$A$8="SEM DESONERAÇÃO"),_xlfn.LET(_xlpm.linha_insumo,MATCH($B48,'ISD'!$B:$B,0),_xlpm.coluna_uf,MATCH($B$8,'ISD'!$F$4:$AF$4,0),_xlpm.preco_uf,INDEX('ISD'!$F:$AF,_xlpm.linha_insumo,_xlpm.coluna_uf),IF(ISERROR(_xlpm.linha_insumo),"",IF(_xlpm.preco_uf&lt;&gt;0,0%,100%))),
IF(AND($A48="INSUMO",$A$8="COM DESONERAÇÃO"),_xlfn.LET(_xlpm.linha_insumo,MATCH($B48,'ICD'!$B:$B,0),_xlpm.coluna_uf,MATCH($B$8,'ICD'!$F$4:$AF$4,0),_xlpm.preco_uf,INDEX('ICD'!$F:$AF,_xlpm.linha_insumo,_xlpm.coluna_uf),IF(ISERROR(_xlpm.linha_insumo),"",IF(_xlpm.preco_uf&lt;&gt;0,0%,100%))),
IF(AND($A48="INSUMO",$A$8="SEM ENCARGOS SOCIAIS"),_xlfn.LET(_xlpm.linha_insumo,MATCH($B48,'ISE'!$B:$B,0),_xlpm.coluna_uf,MATCH($B$8,'ISE'!$F$10:$AF$10,0),_xlpm.preco_uf,INDEX('ISE'!$F:$AF,_xlpm.linha_insumo,_xlpm.coluna_uf),IF(ISERROR(_xlpm.linha_insumo),"",IF(_xlpm.preco_uf&lt;&gt;0,0%,100%))),
IF(AND($A48="COMPOSICAO",$A$8="SEM DESONERAÇÃO"),_xlfn.XLOOKUP($B48,'CSD'!B:B,OFFSET('CSD'!$D:$D,0,1+MATCH($B$8,'CSD'!$E$4:$BF$4,0)),0),
IF(AND($A48="COMPOSICAO",$A$8="COM DESONERAÇÃO"),_xlfn.XLOOKUP($B48,'CCD'!B:B,OFFSET('CCD'!$D:$D,0,1+MATCH($B$8,'CCD'!$E$4:$BF$4,0)),0),
IF(AND($A48="COMPOSICAO",$A$8="SEM ENCARGOS SOCIAIS"),_xlfn.XLOOKUP($B48,'CSE'!B:B,OFFSET('CSE'!$D:$D,0,1+MATCH($B$8,'CSE'!$E$9:$BF$9,0)),0),""
)))))))</f>
        <v>0</v>
      </c>
    </row>
    <row r="49" spans="6:8">
      <c r="F49" s="19" cm="1">
        <f t="array" ref="F49">IF($A49="","",
IF(AND($A49="INSUMO",$A$8="SEM DESONERAÇÃO"),_xlfn.LET(_xlpm.linha_insumo,MATCH($B49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_xlpm.preco_regional_as,INDEX($M:$M,MATCH($B49&amp;"_"&amp;$B$8,$K:$K,0)),
IF(ISERROR(_xlpm.linha_insumo),0,IF(_xlpm.preco_uf&lt;&gt;0,_xlpm.preco_uf,IF(ISNUMBER(_xlpm.preco_regional_as),_xlpm.preco_regional_as,_xlpm.preco_sp)))),
IF(AND($A49="INSUMO",$A$8="COM DESONERAÇÃO"),_xlfn.LET(_xlpm.linha_insumo,MATCH($B49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_xlpm.preco_regional_as,INDEX($N:$N,MATCH($B49&amp;"_"&amp;$B$8,$K:$K,0)),
IF(ISERROR(_xlpm.linha_insumo),0,IF(_xlpm.preco_uf&lt;&gt;0,_xlpm.preco_uf,IF(ISNUMBER(_xlpm.preco_regional_as),_xlpm.preco_regional_as,_xlpm.preco_sp)))),
IF(AND($A49="INSUMO",$A$8="SEM ENCARGOS SOCIAIS"),_xlfn.LET(_xlpm.linha_insumo,MATCH($B49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_xlpm.preco_regional_as,INDEX($L:$L,MATCH($B49&amp;"_"&amp;$B$8,$K:$K,0)),
IF(ISERROR(_xlpm.linha_insumo),0,IF(_xlpm.preco_uf&lt;&gt;0,_xlpm.preco_uf,IF(ISNUMBER(_xlpm.preco_regional_as),_xlpm.preco_regional_as,_xlpm.preco_sp)))),
IF(AND($A49="COMPOSICAO",$A$8="SEM DESONERAÇÃO"),_xlfn.XLOOKUP($B49,'CSD'!B:B,OFFSET('CSD'!$D:$D,0,MATCH($B$8,'CSD'!$E$4:$BF$4,0)),0),
IF(AND($A49="COMPOSICAO",$A$8="COM DESONERAÇÃO"),_xlfn.XLOOKUP($B49,'CCD'!B:B,OFFSET('CCD'!$D:$D,0,MATCH($B$8,'CCD'!$E$4:$BF$4,0)),0),
IF(AND($A49="COMPOSICAO",$A$8="SEM ENCARGOS SOCIAIS"),_xlfn.XLOOKUP($B49,'CSE'!B:B,OFFSET('CSE'!$D:$D,0,MATCH($B$8,'CSE'!$E$9:$BF$9,0)),0),""
)))))))</f>
        <v>0</v>
      </c>
      <c r="G49" s="19">
        <f>IF($A49="","",TRUNC(E49*F49,2))</f>
        <v>0</v>
      </c>
      <c r="H49" s="20" cm="1">
        <f t="array" ref="H49">IF($A49="","",
IF(AND($A49="INSUMO",$A$8="SEM DESONERAÇÃO"),_xlfn.LET(_xlpm.linha_insumo,MATCH($B49,'ISD'!$B:$B,0),_xlpm.coluna_uf,MATCH($B$8,'ISD'!$F$4:$AF$4,0),_xlpm.preco_uf,INDEX('ISD'!$F:$AF,_xlpm.linha_insumo,_xlpm.coluna_uf),IF(ISERROR(_xlpm.linha_insumo),"",IF(_xlpm.preco_uf&lt;&gt;0,0%,100%))),
IF(AND($A49="INSUMO",$A$8="COM DESONERAÇÃO"),_xlfn.LET(_xlpm.linha_insumo,MATCH($B49,'ICD'!$B:$B,0),_xlpm.coluna_uf,MATCH($B$8,'ICD'!$F$4:$AF$4,0),_xlpm.preco_uf,INDEX('ICD'!$F:$AF,_xlpm.linha_insumo,_xlpm.coluna_uf),IF(ISERROR(_xlpm.linha_insumo),"",IF(_xlpm.preco_uf&lt;&gt;0,0%,100%))),
IF(AND($A49="INSUMO",$A$8="SEM ENCARGOS SOCIAIS"),_xlfn.LET(_xlpm.linha_insumo,MATCH($B49,'ISE'!$B:$B,0),_xlpm.coluna_uf,MATCH($B$8,'ISE'!$F$10:$AF$10,0),_xlpm.preco_uf,INDEX('ISE'!$F:$AF,_xlpm.linha_insumo,_xlpm.coluna_uf),IF(ISERROR(_xlpm.linha_insumo),"",IF(_xlpm.preco_uf&lt;&gt;0,0%,100%))),
IF(AND($A49="COMPOSICAO",$A$8="SEM DESONERAÇÃO"),_xlfn.XLOOKUP($B49,'CSD'!B:B,OFFSET('CSD'!$D:$D,0,1+MATCH($B$8,'CSD'!$E$4:$BF$4,0)),0),
IF(AND($A49="COMPOSICAO",$A$8="COM DESONERAÇÃO"),_xlfn.XLOOKUP($B49,'CCD'!B:B,OFFSET('CCD'!$D:$D,0,1+MATCH($B$8,'CCD'!$E$4:$BF$4,0)),0),
IF(AND($A49="COMPOSICAO",$A$8="SEM ENCARGOS SOCIAIS"),_xlfn.XLOOKUP($B49,'CSE'!B:B,OFFSET('CSE'!$D:$D,0,1+MATCH($B$8,'CSE'!$E$9:$BF$9,0)),0),""
)))))))</f>
        <v>0</v>
      </c>
    </row>
    <row r="50" spans="6:8">
      <c r="F50" s="19" cm="1">
        <f t="array" ref="F50">IF($A50="","",
IF(AND($A50="INSUMO",$A$8="SEM DESONERAÇÃO"),_xlfn.LET(_xlpm.linha_insumo,MATCH($B50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_xlpm.preco_regional_as,INDEX($M:$M,MATCH($B50&amp;"_"&amp;$B$8,$K:$K,0)),
IF(ISERROR(_xlpm.linha_insumo),0,IF(_xlpm.preco_uf&lt;&gt;0,_xlpm.preco_uf,IF(ISNUMBER(_xlpm.preco_regional_as),_xlpm.preco_regional_as,_xlpm.preco_sp)))),
IF(AND($A50="INSUMO",$A$8="COM DESONERAÇÃO"),_xlfn.LET(_xlpm.linha_insumo,MATCH($B50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_xlpm.preco_regional_as,INDEX($N:$N,MATCH($B50&amp;"_"&amp;$B$8,$K:$K,0)),
IF(ISERROR(_xlpm.linha_insumo),0,IF(_xlpm.preco_uf&lt;&gt;0,_xlpm.preco_uf,IF(ISNUMBER(_xlpm.preco_regional_as),_xlpm.preco_regional_as,_xlpm.preco_sp)))),
IF(AND($A50="INSUMO",$A$8="SEM ENCARGOS SOCIAIS"),_xlfn.LET(_xlpm.linha_insumo,MATCH($B50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_xlpm.preco_regional_as,INDEX($L:$L,MATCH($B50&amp;"_"&amp;$B$8,$K:$K,0)),
IF(ISERROR(_xlpm.linha_insumo),0,IF(_xlpm.preco_uf&lt;&gt;0,_xlpm.preco_uf,IF(ISNUMBER(_xlpm.preco_regional_as),_xlpm.preco_regional_as,_xlpm.preco_sp)))),
IF(AND($A50="COMPOSICAO",$A$8="SEM DESONERAÇÃO"),_xlfn.XLOOKUP($B50,'CSD'!B:B,OFFSET('CSD'!$D:$D,0,MATCH($B$8,'CSD'!$E$4:$BF$4,0)),0),
IF(AND($A50="COMPOSICAO",$A$8="COM DESONERAÇÃO"),_xlfn.XLOOKUP($B50,'CCD'!B:B,OFFSET('CCD'!$D:$D,0,MATCH($B$8,'CCD'!$E$4:$BF$4,0)),0),
IF(AND($A50="COMPOSICAO",$A$8="SEM ENCARGOS SOCIAIS"),_xlfn.XLOOKUP($B50,'CSE'!B:B,OFFSET('CSE'!$D:$D,0,MATCH($B$8,'CSE'!$E$9:$BF$9,0)),0),""
)))))))</f>
        <v>0</v>
      </c>
      <c r="G50" s="19">
        <f>IF($A50="","",TRUNC(E50*F50,2))</f>
        <v>0</v>
      </c>
      <c r="H50" s="20" cm="1">
        <f t="array" ref="H50">IF($A50="","",
IF(AND($A50="INSUMO",$A$8="SEM DESONERAÇÃO"),_xlfn.LET(_xlpm.linha_insumo,MATCH($B50,'ISD'!$B:$B,0),_xlpm.coluna_uf,MATCH($B$8,'ISD'!$F$4:$AF$4,0),_xlpm.preco_uf,INDEX('ISD'!$F:$AF,_xlpm.linha_insumo,_xlpm.coluna_uf),IF(ISERROR(_xlpm.linha_insumo),"",IF(_xlpm.preco_uf&lt;&gt;0,0%,100%))),
IF(AND($A50="INSUMO",$A$8="COM DESONERAÇÃO"),_xlfn.LET(_xlpm.linha_insumo,MATCH($B50,'ICD'!$B:$B,0),_xlpm.coluna_uf,MATCH($B$8,'ICD'!$F$4:$AF$4,0),_xlpm.preco_uf,INDEX('ICD'!$F:$AF,_xlpm.linha_insumo,_xlpm.coluna_uf),IF(ISERROR(_xlpm.linha_insumo),"",IF(_xlpm.preco_uf&lt;&gt;0,0%,100%))),
IF(AND($A50="INSUMO",$A$8="SEM ENCARGOS SOCIAIS"),_xlfn.LET(_xlpm.linha_insumo,MATCH($B50,'ISE'!$B:$B,0),_xlpm.coluna_uf,MATCH($B$8,'ISE'!$F$10:$AF$10,0),_xlpm.preco_uf,INDEX('ISE'!$F:$AF,_xlpm.linha_insumo,_xlpm.coluna_uf),IF(ISERROR(_xlpm.linha_insumo),"",IF(_xlpm.preco_uf&lt;&gt;0,0%,100%))),
IF(AND($A50="COMPOSICAO",$A$8="SEM DESONERAÇÃO"),_xlfn.XLOOKUP($B50,'CSD'!B:B,OFFSET('CSD'!$D:$D,0,1+MATCH($B$8,'CSD'!$E$4:$BF$4,0)),0),
IF(AND($A50="COMPOSICAO",$A$8="COM DESONERAÇÃO"),_xlfn.XLOOKUP($B50,'CCD'!B:B,OFFSET('CCD'!$D:$D,0,1+MATCH($B$8,'CCD'!$E$4:$BF$4,0)),0),
IF(AND($A50="COMPOSICAO",$A$8="SEM ENCARGOS SOCIAIS"),_xlfn.XLOOKUP($B50,'CSE'!B:B,OFFSET('CSE'!$D:$D,0,1+MATCH($B$8,'CSE'!$E$9:$BF$9,0)),0),""
)))))))</f>
        <v>0</v>
      </c>
    </row>
    <row r="51" spans="6:8">
      <c r="F51" s="19" cm="1">
        <f t="array" ref="F51">IF($A51="","",
IF(AND($A51="INSUMO",$A$8="SEM DESONERAÇÃO"),_xlfn.LET(_xlpm.linha_insumo,MATCH($B51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_xlpm.preco_regional_as,INDEX($M:$M,MATCH($B51&amp;"_"&amp;$B$8,$K:$K,0)),
IF(ISERROR(_xlpm.linha_insumo),0,IF(_xlpm.preco_uf&lt;&gt;0,_xlpm.preco_uf,IF(ISNUMBER(_xlpm.preco_regional_as),_xlpm.preco_regional_as,_xlpm.preco_sp)))),
IF(AND($A51="INSUMO",$A$8="COM DESONERAÇÃO"),_xlfn.LET(_xlpm.linha_insumo,MATCH($B51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_xlpm.preco_regional_as,INDEX($N:$N,MATCH($B51&amp;"_"&amp;$B$8,$K:$K,0)),
IF(ISERROR(_xlpm.linha_insumo),0,IF(_xlpm.preco_uf&lt;&gt;0,_xlpm.preco_uf,IF(ISNUMBER(_xlpm.preco_regional_as),_xlpm.preco_regional_as,_xlpm.preco_sp)))),
IF(AND($A51="INSUMO",$A$8="SEM ENCARGOS SOCIAIS"),_xlfn.LET(_xlpm.linha_insumo,MATCH($B51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_xlpm.preco_regional_as,INDEX($L:$L,MATCH($B51&amp;"_"&amp;$B$8,$K:$K,0)),
IF(ISERROR(_xlpm.linha_insumo),0,IF(_xlpm.preco_uf&lt;&gt;0,_xlpm.preco_uf,IF(ISNUMBER(_xlpm.preco_regional_as),_xlpm.preco_regional_as,_xlpm.preco_sp)))),
IF(AND($A51="COMPOSICAO",$A$8="SEM DESONERAÇÃO"),_xlfn.XLOOKUP($B51,'CSD'!B:B,OFFSET('CSD'!$D:$D,0,MATCH($B$8,'CSD'!$E$4:$BF$4,0)),0),
IF(AND($A51="COMPOSICAO",$A$8="COM DESONERAÇÃO"),_xlfn.XLOOKUP($B51,'CCD'!B:B,OFFSET('CCD'!$D:$D,0,MATCH($B$8,'CCD'!$E$4:$BF$4,0)),0),
IF(AND($A51="COMPOSICAO",$A$8="SEM ENCARGOS SOCIAIS"),_xlfn.XLOOKUP($B51,'CSE'!B:B,OFFSET('CSE'!$D:$D,0,MATCH($B$8,'CSE'!$E$9:$BF$9,0)),0),""
)))))))</f>
        <v>0</v>
      </c>
      <c r="G51" s="19">
        <f>IF($A51="","",TRUNC(E51*F51,2))</f>
        <v>0</v>
      </c>
      <c r="H51" s="20" cm="1">
        <f t="array" ref="H51">IF($A51="","",
IF(AND($A51="INSUMO",$A$8="SEM DESONERAÇÃO"),_xlfn.LET(_xlpm.linha_insumo,MATCH($B51,'ISD'!$B:$B,0),_xlpm.coluna_uf,MATCH($B$8,'ISD'!$F$4:$AF$4,0),_xlpm.preco_uf,INDEX('ISD'!$F:$AF,_xlpm.linha_insumo,_xlpm.coluna_uf),IF(ISERROR(_xlpm.linha_insumo),"",IF(_xlpm.preco_uf&lt;&gt;0,0%,100%))),
IF(AND($A51="INSUMO",$A$8="COM DESONERAÇÃO"),_xlfn.LET(_xlpm.linha_insumo,MATCH($B51,'ICD'!$B:$B,0),_xlpm.coluna_uf,MATCH($B$8,'ICD'!$F$4:$AF$4,0),_xlpm.preco_uf,INDEX('ICD'!$F:$AF,_xlpm.linha_insumo,_xlpm.coluna_uf),IF(ISERROR(_xlpm.linha_insumo),"",IF(_xlpm.preco_uf&lt;&gt;0,0%,100%))),
IF(AND($A51="INSUMO",$A$8="SEM ENCARGOS SOCIAIS"),_xlfn.LET(_xlpm.linha_insumo,MATCH($B51,'ISE'!$B:$B,0),_xlpm.coluna_uf,MATCH($B$8,'ISE'!$F$10:$AF$10,0),_xlpm.preco_uf,INDEX('ISE'!$F:$AF,_xlpm.linha_insumo,_xlpm.coluna_uf),IF(ISERROR(_xlpm.linha_insumo),"",IF(_xlpm.preco_uf&lt;&gt;0,0%,100%))),
IF(AND($A51="COMPOSICAO",$A$8="SEM DESONERAÇÃO"),_xlfn.XLOOKUP($B51,'CSD'!B:B,OFFSET('CSD'!$D:$D,0,1+MATCH($B$8,'CSD'!$E$4:$BF$4,0)),0),
IF(AND($A51="COMPOSICAO",$A$8="COM DESONERAÇÃO"),_xlfn.XLOOKUP($B51,'CCD'!B:B,OFFSET('CCD'!$D:$D,0,1+MATCH($B$8,'CCD'!$E$4:$BF$4,0)),0),
IF(AND($A51="COMPOSICAO",$A$8="SEM ENCARGOS SOCIAIS"),_xlfn.XLOOKUP($B51,'CSE'!B:B,OFFSET('CSE'!$D:$D,0,1+MATCH($B$8,'CSE'!$E$9:$BF$9,0)),0),""
)))))))</f>
        <v>0</v>
      </c>
    </row>
    <row r="52" spans="6:8">
      <c r="F52" s="19" cm="1">
        <f t="array" ref="F52">IF($A52="","",
IF(AND($A52="INSUMO",$A$8="SEM DESONERAÇÃO"),_xlfn.LET(_xlpm.linha_insumo,MATCH($B52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_xlpm.preco_regional_as,INDEX($M:$M,MATCH($B52&amp;"_"&amp;$B$8,$K:$K,0)),
IF(ISERROR(_xlpm.linha_insumo),0,IF(_xlpm.preco_uf&lt;&gt;0,_xlpm.preco_uf,IF(ISNUMBER(_xlpm.preco_regional_as),_xlpm.preco_regional_as,_xlpm.preco_sp)))),
IF(AND($A52="INSUMO",$A$8="COM DESONERAÇÃO"),_xlfn.LET(_xlpm.linha_insumo,MATCH($B52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_xlpm.preco_regional_as,INDEX($N:$N,MATCH($B52&amp;"_"&amp;$B$8,$K:$K,0)),
IF(ISERROR(_xlpm.linha_insumo),0,IF(_xlpm.preco_uf&lt;&gt;0,_xlpm.preco_uf,IF(ISNUMBER(_xlpm.preco_regional_as),_xlpm.preco_regional_as,_xlpm.preco_sp)))),
IF(AND($A52="INSUMO",$A$8="SEM ENCARGOS SOCIAIS"),_xlfn.LET(_xlpm.linha_insumo,MATCH($B52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_xlpm.preco_regional_as,INDEX($L:$L,MATCH($B52&amp;"_"&amp;$B$8,$K:$K,0)),
IF(ISERROR(_xlpm.linha_insumo),0,IF(_xlpm.preco_uf&lt;&gt;0,_xlpm.preco_uf,IF(ISNUMBER(_xlpm.preco_regional_as),_xlpm.preco_regional_as,_xlpm.preco_sp)))),
IF(AND($A52="COMPOSICAO",$A$8="SEM DESONERAÇÃO"),_xlfn.XLOOKUP($B52,'CSD'!B:B,OFFSET('CSD'!$D:$D,0,MATCH($B$8,'CSD'!$E$4:$BF$4,0)),0),
IF(AND($A52="COMPOSICAO",$A$8="COM DESONERAÇÃO"),_xlfn.XLOOKUP($B52,'CCD'!B:B,OFFSET('CCD'!$D:$D,0,MATCH($B$8,'CCD'!$E$4:$BF$4,0)),0),
IF(AND($A52="COMPOSICAO",$A$8="SEM ENCARGOS SOCIAIS"),_xlfn.XLOOKUP($B52,'CSE'!B:B,OFFSET('CSE'!$D:$D,0,MATCH($B$8,'CSE'!$E$9:$BF$9,0)),0),""
)))))))</f>
        <v>0</v>
      </c>
      <c r="G52" s="19">
        <f>IF($A52="","",TRUNC(E52*F52,2))</f>
        <v>0</v>
      </c>
      <c r="H52" s="20" cm="1">
        <f t="array" ref="H52">IF($A52="","",
IF(AND($A52="INSUMO",$A$8="SEM DESONERAÇÃO"),_xlfn.LET(_xlpm.linha_insumo,MATCH($B52,'ISD'!$B:$B,0),_xlpm.coluna_uf,MATCH($B$8,'ISD'!$F$4:$AF$4,0),_xlpm.preco_uf,INDEX('ISD'!$F:$AF,_xlpm.linha_insumo,_xlpm.coluna_uf),IF(ISERROR(_xlpm.linha_insumo),"",IF(_xlpm.preco_uf&lt;&gt;0,0%,100%))),
IF(AND($A52="INSUMO",$A$8="COM DESONERAÇÃO"),_xlfn.LET(_xlpm.linha_insumo,MATCH($B52,'ICD'!$B:$B,0),_xlpm.coluna_uf,MATCH($B$8,'ICD'!$F$4:$AF$4,0),_xlpm.preco_uf,INDEX('ICD'!$F:$AF,_xlpm.linha_insumo,_xlpm.coluna_uf),IF(ISERROR(_xlpm.linha_insumo),"",IF(_xlpm.preco_uf&lt;&gt;0,0%,100%))),
IF(AND($A52="INSUMO",$A$8="SEM ENCARGOS SOCIAIS"),_xlfn.LET(_xlpm.linha_insumo,MATCH($B52,'ISE'!$B:$B,0),_xlpm.coluna_uf,MATCH($B$8,'ISE'!$F$10:$AF$10,0),_xlpm.preco_uf,INDEX('ISE'!$F:$AF,_xlpm.linha_insumo,_xlpm.coluna_uf),IF(ISERROR(_xlpm.linha_insumo),"",IF(_xlpm.preco_uf&lt;&gt;0,0%,100%))),
IF(AND($A52="COMPOSICAO",$A$8="SEM DESONERAÇÃO"),_xlfn.XLOOKUP($B52,'CSD'!B:B,OFFSET('CSD'!$D:$D,0,1+MATCH($B$8,'CSD'!$E$4:$BF$4,0)),0),
IF(AND($A52="COMPOSICAO",$A$8="COM DESONERAÇÃO"),_xlfn.XLOOKUP($B52,'CCD'!B:B,OFFSET('CCD'!$D:$D,0,1+MATCH($B$8,'CCD'!$E$4:$BF$4,0)),0),
IF(AND($A52="COMPOSICAO",$A$8="SEM ENCARGOS SOCIAIS"),_xlfn.XLOOKUP($B52,'CSE'!B:B,OFFSET('CSE'!$D:$D,0,1+MATCH($B$8,'CSE'!$E$9:$BF$9,0)),0),""
)))))))</f>
        <v>0</v>
      </c>
    </row>
    <row r="53" spans="6:8">
      <c r="F53" s="19" cm="1">
        <f t="array" ref="F53">IF($A53="","",
IF(AND($A53="INSUMO",$A$8="SEM DESONERAÇÃO"),_xlfn.LET(_xlpm.linha_insumo,MATCH($B53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_xlpm.preco_regional_as,INDEX($M:$M,MATCH($B53&amp;"_"&amp;$B$8,$K:$K,0)),
IF(ISERROR(_xlpm.linha_insumo),0,IF(_xlpm.preco_uf&lt;&gt;0,_xlpm.preco_uf,IF(ISNUMBER(_xlpm.preco_regional_as),_xlpm.preco_regional_as,_xlpm.preco_sp)))),
IF(AND($A53="INSUMO",$A$8="COM DESONERAÇÃO"),_xlfn.LET(_xlpm.linha_insumo,MATCH($B53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_xlpm.preco_regional_as,INDEX($N:$N,MATCH($B53&amp;"_"&amp;$B$8,$K:$K,0)),
IF(ISERROR(_xlpm.linha_insumo),0,IF(_xlpm.preco_uf&lt;&gt;0,_xlpm.preco_uf,IF(ISNUMBER(_xlpm.preco_regional_as),_xlpm.preco_regional_as,_xlpm.preco_sp)))),
IF(AND($A53="INSUMO",$A$8="SEM ENCARGOS SOCIAIS"),_xlfn.LET(_xlpm.linha_insumo,MATCH($B53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_xlpm.preco_regional_as,INDEX($L:$L,MATCH($B53&amp;"_"&amp;$B$8,$K:$K,0)),
IF(ISERROR(_xlpm.linha_insumo),0,IF(_xlpm.preco_uf&lt;&gt;0,_xlpm.preco_uf,IF(ISNUMBER(_xlpm.preco_regional_as),_xlpm.preco_regional_as,_xlpm.preco_sp)))),
IF(AND($A53="COMPOSICAO",$A$8="SEM DESONERAÇÃO"),_xlfn.XLOOKUP($B53,'CSD'!B:B,OFFSET('CSD'!$D:$D,0,MATCH($B$8,'CSD'!$E$4:$BF$4,0)),0),
IF(AND($A53="COMPOSICAO",$A$8="COM DESONERAÇÃO"),_xlfn.XLOOKUP($B53,'CCD'!B:B,OFFSET('CCD'!$D:$D,0,MATCH($B$8,'CCD'!$E$4:$BF$4,0)),0),
IF(AND($A53="COMPOSICAO",$A$8="SEM ENCARGOS SOCIAIS"),_xlfn.XLOOKUP($B53,'CSE'!B:B,OFFSET('CSE'!$D:$D,0,MATCH($B$8,'CSE'!$E$9:$BF$9,0)),0),""
)))))))</f>
        <v>0</v>
      </c>
      <c r="G53" s="19">
        <f>IF($A53="","",TRUNC(E53*F53,2))</f>
        <v>0</v>
      </c>
      <c r="H53" s="20" cm="1">
        <f t="array" ref="H53">IF($A53="","",
IF(AND($A53="INSUMO",$A$8="SEM DESONERAÇÃO"),_xlfn.LET(_xlpm.linha_insumo,MATCH($B53,'ISD'!$B:$B,0),_xlpm.coluna_uf,MATCH($B$8,'ISD'!$F$4:$AF$4,0),_xlpm.preco_uf,INDEX('ISD'!$F:$AF,_xlpm.linha_insumo,_xlpm.coluna_uf),IF(ISERROR(_xlpm.linha_insumo),"",IF(_xlpm.preco_uf&lt;&gt;0,0%,100%))),
IF(AND($A53="INSUMO",$A$8="COM DESONERAÇÃO"),_xlfn.LET(_xlpm.linha_insumo,MATCH($B53,'ICD'!$B:$B,0),_xlpm.coluna_uf,MATCH($B$8,'ICD'!$F$4:$AF$4,0),_xlpm.preco_uf,INDEX('ICD'!$F:$AF,_xlpm.linha_insumo,_xlpm.coluna_uf),IF(ISERROR(_xlpm.linha_insumo),"",IF(_xlpm.preco_uf&lt;&gt;0,0%,100%))),
IF(AND($A53="INSUMO",$A$8="SEM ENCARGOS SOCIAIS"),_xlfn.LET(_xlpm.linha_insumo,MATCH($B53,'ISE'!$B:$B,0),_xlpm.coluna_uf,MATCH($B$8,'ISE'!$F$10:$AF$10,0),_xlpm.preco_uf,INDEX('ISE'!$F:$AF,_xlpm.linha_insumo,_xlpm.coluna_uf),IF(ISERROR(_xlpm.linha_insumo),"",IF(_xlpm.preco_uf&lt;&gt;0,0%,100%))),
IF(AND($A53="COMPOSICAO",$A$8="SEM DESONERAÇÃO"),_xlfn.XLOOKUP($B53,'CSD'!B:B,OFFSET('CSD'!$D:$D,0,1+MATCH($B$8,'CSD'!$E$4:$BF$4,0)),0),
IF(AND($A53="COMPOSICAO",$A$8="COM DESONERAÇÃO"),_xlfn.XLOOKUP($B53,'CCD'!B:B,OFFSET('CCD'!$D:$D,0,1+MATCH($B$8,'CCD'!$E$4:$BF$4,0)),0),
IF(AND($A53="COMPOSICAO",$A$8="SEM ENCARGOS SOCIAIS"),_xlfn.XLOOKUP($B53,'CSE'!B:B,OFFSET('CSE'!$D:$D,0,1+MATCH($B$8,'CSE'!$E$9:$BF$9,0)),0),""
)))))))</f>
        <v>0</v>
      </c>
    </row>
    <row r="54" spans="6:8">
      <c r="F54" s="19" cm="1">
        <f t="array" ref="F54">IF($A54="","",
IF(AND($A54="INSUMO",$A$8="SEM DESONERAÇÃO"),_xlfn.LET(_xlpm.linha_insumo,MATCH($B54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_xlpm.preco_regional_as,INDEX($M:$M,MATCH($B54&amp;"_"&amp;$B$8,$K:$K,0)),
IF(ISERROR(_xlpm.linha_insumo),0,IF(_xlpm.preco_uf&lt;&gt;0,_xlpm.preco_uf,IF(ISNUMBER(_xlpm.preco_regional_as),_xlpm.preco_regional_as,_xlpm.preco_sp)))),
IF(AND($A54="INSUMO",$A$8="COM DESONERAÇÃO"),_xlfn.LET(_xlpm.linha_insumo,MATCH($B54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_xlpm.preco_regional_as,INDEX($N:$N,MATCH($B54&amp;"_"&amp;$B$8,$K:$K,0)),
IF(ISERROR(_xlpm.linha_insumo),0,IF(_xlpm.preco_uf&lt;&gt;0,_xlpm.preco_uf,IF(ISNUMBER(_xlpm.preco_regional_as),_xlpm.preco_regional_as,_xlpm.preco_sp)))),
IF(AND($A54="INSUMO",$A$8="SEM ENCARGOS SOCIAIS"),_xlfn.LET(_xlpm.linha_insumo,MATCH($B54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_xlpm.preco_regional_as,INDEX($L:$L,MATCH($B54&amp;"_"&amp;$B$8,$K:$K,0)),
IF(ISERROR(_xlpm.linha_insumo),0,IF(_xlpm.preco_uf&lt;&gt;0,_xlpm.preco_uf,IF(ISNUMBER(_xlpm.preco_regional_as),_xlpm.preco_regional_as,_xlpm.preco_sp)))),
IF(AND($A54="COMPOSICAO",$A$8="SEM DESONERAÇÃO"),_xlfn.XLOOKUP($B54,'CSD'!B:B,OFFSET('CSD'!$D:$D,0,MATCH($B$8,'CSD'!$E$4:$BF$4,0)),0),
IF(AND($A54="COMPOSICAO",$A$8="COM DESONERAÇÃO"),_xlfn.XLOOKUP($B54,'CCD'!B:B,OFFSET('CCD'!$D:$D,0,MATCH($B$8,'CCD'!$E$4:$BF$4,0)),0),
IF(AND($A54="COMPOSICAO",$A$8="SEM ENCARGOS SOCIAIS"),_xlfn.XLOOKUP($B54,'CSE'!B:B,OFFSET('CSE'!$D:$D,0,MATCH($B$8,'CSE'!$E$9:$BF$9,0)),0),""
)))))))</f>
        <v>0</v>
      </c>
      <c r="G54" s="19">
        <f>IF($A54="","",TRUNC(E54*F54,2))</f>
        <v>0</v>
      </c>
      <c r="H54" s="20" cm="1">
        <f t="array" ref="H54">IF($A54="","",
IF(AND($A54="INSUMO",$A$8="SEM DESONERAÇÃO"),_xlfn.LET(_xlpm.linha_insumo,MATCH($B54,'ISD'!$B:$B,0),_xlpm.coluna_uf,MATCH($B$8,'ISD'!$F$4:$AF$4,0),_xlpm.preco_uf,INDEX('ISD'!$F:$AF,_xlpm.linha_insumo,_xlpm.coluna_uf),IF(ISERROR(_xlpm.linha_insumo),"",IF(_xlpm.preco_uf&lt;&gt;0,0%,100%))),
IF(AND($A54="INSUMO",$A$8="COM DESONERAÇÃO"),_xlfn.LET(_xlpm.linha_insumo,MATCH($B54,'ICD'!$B:$B,0),_xlpm.coluna_uf,MATCH($B$8,'ICD'!$F$4:$AF$4,0),_xlpm.preco_uf,INDEX('ICD'!$F:$AF,_xlpm.linha_insumo,_xlpm.coluna_uf),IF(ISERROR(_xlpm.linha_insumo),"",IF(_xlpm.preco_uf&lt;&gt;0,0%,100%))),
IF(AND($A54="INSUMO",$A$8="SEM ENCARGOS SOCIAIS"),_xlfn.LET(_xlpm.linha_insumo,MATCH($B54,'ISE'!$B:$B,0),_xlpm.coluna_uf,MATCH($B$8,'ISE'!$F$10:$AF$10,0),_xlpm.preco_uf,INDEX('ISE'!$F:$AF,_xlpm.linha_insumo,_xlpm.coluna_uf),IF(ISERROR(_xlpm.linha_insumo),"",IF(_xlpm.preco_uf&lt;&gt;0,0%,100%))),
IF(AND($A54="COMPOSICAO",$A$8="SEM DESONERAÇÃO"),_xlfn.XLOOKUP($B54,'CSD'!B:B,OFFSET('CSD'!$D:$D,0,1+MATCH($B$8,'CSD'!$E$4:$BF$4,0)),0),
IF(AND($A54="COMPOSICAO",$A$8="COM DESONERAÇÃO"),_xlfn.XLOOKUP($B54,'CCD'!B:B,OFFSET('CCD'!$D:$D,0,1+MATCH($B$8,'CCD'!$E$4:$BF$4,0)),0),
IF(AND($A54="COMPOSICAO",$A$8="SEM ENCARGOS SOCIAIS"),_xlfn.XLOOKUP($B54,'CSE'!B:B,OFFSET('CSE'!$D:$D,0,1+MATCH($B$8,'CSE'!$E$9:$BF$9,0)),0),""
)))))))</f>
        <v>0</v>
      </c>
    </row>
    <row r="55" spans="6:8">
      <c r="F55" s="19" cm="1">
        <f t="array" ref="F55">IF($A55="","",
IF(AND($A55="INSUMO",$A$8="SEM DESONERAÇÃO"),_xlfn.LET(_xlpm.linha_insumo,MATCH($B55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_xlpm.preco_regional_as,INDEX($M:$M,MATCH($B55&amp;"_"&amp;$B$8,$K:$K,0)),
IF(ISERROR(_xlpm.linha_insumo),0,IF(_xlpm.preco_uf&lt;&gt;0,_xlpm.preco_uf,IF(ISNUMBER(_xlpm.preco_regional_as),_xlpm.preco_regional_as,_xlpm.preco_sp)))),
IF(AND($A55="INSUMO",$A$8="COM DESONERAÇÃO"),_xlfn.LET(_xlpm.linha_insumo,MATCH($B55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_xlpm.preco_regional_as,INDEX($N:$N,MATCH($B55&amp;"_"&amp;$B$8,$K:$K,0)),
IF(ISERROR(_xlpm.linha_insumo),0,IF(_xlpm.preco_uf&lt;&gt;0,_xlpm.preco_uf,IF(ISNUMBER(_xlpm.preco_regional_as),_xlpm.preco_regional_as,_xlpm.preco_sp)))),
IF(AND($A55="INSUMO",$A$8="SEM ENCARGOS SOCIAIS"),_xlfn.LET(_xlpm.linha_insumo,MATCH($B55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_xlpm.preco_regional_as,INDEX($L:$L,MATCH($B55&amp;"_"&amp;$B$8,$K:$K,0)),
IF(ISERROR(_xlpm.linha_insumo),0,IF(_xlpm.preco_uf&lt;&gt;0,_xlpm.preco_uf,IF(ISNUMBER(_xlpm.preco_regional_as),_xlpm.preco_regional_as,_xlpm.preco_sp)))),
IF(AND($A55="COMPOSICAO",$A$8="SEM DESONERAÇÃO"),_xlfn.XLOOKUP($B55,'CSD'!B:B,OFFSET('CSD'!$D:$D,0,MATCH($B$8,'CSD'!$E$4:$BF$4,0)),0),
IF(AND($A55="COMPOSICAO",$A$8="COM DESONERAÇÃO"),_xlfn.XLOOKUP($B55,'CCD'!B:B,OFFSET('CCD'!$D:$D,0,MATCH($B$8,'CCD'!$E$4:$BF$4,0)),0),
IF(AND($A55="COMPOSICAO",$A$8="SEM ENCARGOS SOCIAIS"),_xlfn.XLOOKUP($B55,'CSE'!B:B,OFFSET('CSE'!$D:$D,0,MATCH($B$8,'CSE'!$E$9:$BF$9,0)),0),""
)))))))</f>
        <v>0</v>
      </c>
      <c r="G55" s="19">
        <f>IF($A55="","",TRUNC(E55*F55,2))</f>
        <v>0</v>
      </c>
      <c r="H55" s="20" cm="1">
        <f t="array" ref="H55">IF($A55="","",
IF(AND($A55="INSUMO",$A$8="SEM DESONERAÇÃO"),_xlfn.LET(_xlpm.linha_insumo,MATCH($B55,'ISD'!$B:$B,0),_xlpm.coluna_uf,MATCH($B$8,'ISD'!$F$4:$AF$4,0),_xlpm.preco_uf,INDEX('ISD'!$F:$AF,_xlpm.linha_insumo,_xlpm.coluna_uf),IF(ISERROR(_xlpm.linha_insumo),"",IF(_xlpm.preco_uf&lt;&gt;0,0%,100%))),
IF(AND($A55="INSUMO",$A$8="COM DESONERAÇÃO"),_xlfn.LET(_xlpm.linha_insumo,MATCH($B55,'ICD'!$B:$B,0),_xlpm.coluna_uf,MATCH($B$8,'ICD'!$F$4:$AF$4,0),_xlpm.preco_uf,INDEX('ICD'!$F:$AF,_xlpm.linha_insumo,_xlpm.coluna_uf),IF(ISERROR(_xlpm.linha_insumo),"",IF(_xlpm.preco_uf&lt;&gt;0,0%,100%))),
IF(AND($A55="INSUMO",$A$8="SEM ENCARGOS SOCIAIS"),_xlfn.LET(_xlpm.linha_insumo,MATCH($B55,'ISE'!$B:$B,0),_xlpm.coluna_uf,MATCH($B$8,'ISE'!$F$10:$AF$10,0),_xlpm.preco_uf,INDEX('ISE'!$F:$AF,_xlpm.linha_insumo,_xlpm.coluna_uf),IF(ISERROR(_xlpm.linha_insumo),"",IF(_xlpm.preco_uf&lt;&gt;0,0%,100%))),
IF(AND($A55="COMPOSICAO",$A$8="SEM DESONERAÇÃO"),_xlfn.XLOOKUP($B55,'CSD'!B:B,OFFSET('CSD'!$D:$D,0,1+MATCH($B$8,'CSD'!$E$4:$BF$4,0)),0),
IF(AND($A55="COMPOSICAO",$A$8="COM DESONERAÇÃO"),_xlfn.XLOOKUP($B55,'CCD'!B:B,OFFSET('CCD'!$D:$D,0,1+MATCH($B$8,'CCD'!$E$4:$BF$4,0)),0),
IF(AND($A55="COMPOSICAO",$A$8="SEM ENCARGOS SOCIAIS"),_xlfn.XLOOKUP($B55,'CSE'!B:B,OFFSET('CSE'!$D:$D,0,1+MATCH($B$8,'CSE'!$E$9:$BF$9,0)),0),""
)))))))</f>
        <v>0</v>
      </c>
    </row>
    <row r="56" spans="6:8">
      <c r="F56" s="19" cm="1">
        <f t="array" ref="F56">IF($A56="","",
IF(AND($A56="INSUMO",$A$8="SEM DESONERAÇÃO"),_xlfn.LET(_xlpm.linha_insumo,MATCH($B56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_xlpm.preco_regional_as,INDEX($M:$M,MATCH($B56&amp;"_"&amp;$B$8,$K:$K,0)),
IF(ISERROR(_xlpm.linha_insumo),0,IF(_xlpm.preco_uf&lt;&gt;0,_xlpm.preco_uf,IF(ISNUMBER(_xlpm.preco_regional_as),_xlpm.preco_regional_as,_xlpm.preco_sp)))),
IF(AND($A56="INSUMO",$A$8="COM DESONERAÇÃO"),_xlfn.LET(_xlpm.linha_insumo,MATCH($B56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_xlpm.preco_regional_as,INDEX($N:$N,MATCH($B56&amp;"_"&amp;$B$8,$K:$K,0)),
IF(ISERROR(_xlpm.linha_insumo),0,IF(_xlpm.preco_uf&lt;&gt;0,_xlpm.preco_uf,IF(ISNUMBER(_xlpm.preco_regional_as),_xlpm.preco_regional_as,_xlpm.preco_sp)))),
IF(AND($A56="INSUMO",$A$8="SEM ENCARGOS SOCIAIS"),_xlfn.LET(_xlpm.linha_insumo,MATCH($B56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_xlpm.preco_regional_as,INDEX($L:$L,MATCH($B56&amp;"_"&amp;$B$8,$K:$K,0)),
IF(ISERROR(_xlpm.linha_insumo),0,IF(_xlpm.preco_uf&lt;&gt;0,_xlpm.preco_uf,IF(ISNUMBER(_xlpm.preco_regional_as),_xlpm.preco_regional_as,_xlpm.preco_sp)))),
IF(AND($A56="COMPOSICAO",$A$8="SEM DESONERAÇÃO"),_xlfn.XLOOKUP($B56,'CSD'!B:B,OFFSET('CSD'!$D:$D,0,MATCH($B$8,'CSD'!$E$4:$BF$4,0)),0),
IF(AND($A56="COMPOSICAO",$A$8="COM DESONERAÇÃO"),_xlfn.XLOOKUP($B56,'CCD'!B:B,OFFSET('CCD'!$D:$D,0,MATCH($B$8,'CCD'!$E$4:$BF$4,0)),0),
IF(AND($A56="COMPOSICAO",$A$8="SEM ENCARGOS SOCIAIS"),_xlfn.XLOOKUP($B56,'CSE'!B:B,OFFSET('CSE'!$D:$D,0,MATCH($B$8,'CSE'!$E$9:$BF$9,0)),0),""
)))))))</f>
        <v>0</v>
      </c>
      <c r="G56" s="19">
        <f>IF($A56="","",TRUNC(E56*F56,2))</f>
        <v>0</v>
      </c>
      <c r="H56" s="20" cm="1">
        <f t="array" ref="H56">IF($A56="","",
IF(AND($A56="INSUMO",$A$8="SEM DESONERAÇÃO"),_xlfn.LET(_xlpm.linha_insumo,MATCH($B56,'ISD'!$B:$B,0),_xlpm.coluna_uf,MATCH($B$8,'ISD'!$F$4:$AF$4,0),_xlpm.preco_uf,INDEX('ISD'!$F:$AF,_xlpm.linha_insumo,_xlpm.coluna_uf),IF(ISERROR(_xlpm.linha_insumo),"",IF(_xlpm.preco_uf&lt;&gt;0,0%,100%))),
IF(AND($A56="INSUMO",$A$8="COM DESONERAÇÃO"),_xlfn.LET(_xlpm.linha_insumo,MATCH($B56,'ICD'!$B:$B,0),_xlpm.coluna_uf,MATCH($B$8,'ICD'!$F$4:$AF$4,0),_xlpm.preco_uf,INDEX('ICD'!$F:$AF,_xlpm.linha_insumo,_xlpm.coluna_uf),IF(ISERROR(_xlpm.linha_insumo),"",IF(_xlpm.preco_uf&lt;&gt;0,0%,100%))),
IF(AND($A56="INSUMO",$A$8="SEM ENCARGOS SOCIAIS"),_xlfn.LET(_xlpm.linha_insumo,MATCH($B56,'ISE'!$B:$B,0),_xlpm.coluna_uf,MATCH($B$8,'ISE'!$F$10:$AF$10,0),_xlpm.preco_uf,INDEX('ISE'!$F:$AF,_xlpm.linha_insumo,_xlpm.coluna_uf),IF(ISERROR(_xlpm.linha_insumo),"",IF(_xlpm.preco_uf&lt;&gt;0,0%,100%))),
IF(AND($A56="COMPOSICAO",$A$8="SEM DESONERAÇÃO"),_xlfn.XLOOKUP($B56,'CSD'!B:B,OFFSET('CSD'!$D:$D,0,1+MATCH($B$8,'CSD'!$E$4:$BF$4,0)),0),
IF(AND($A56="COMPOSICAO",$A$8="COM DESONERAÇÃO"),_xlfn.XLOOKUP($B56,'CCD'!B:B,OFFSET('CCD'!$D:$D,0,1+MATCH($B$8,'CCD'!$E$4:$BF$4,0)),0),
IF(AND($A56="COMPOSICAO",$A$8="SEM ENCARGOS SOCIAIS"),_xlfn.XLOOKUP($B56,'CSE'!B:B,OFFSET('CSE'!$D:$D,0,1+MATCH($B$8,'CSE'!$E$9:$BF$9,0)),0),""
)))))))</f>
        <v>0</v>
      </c>
    </row>
    <row r="57" spans="6:8">
      <c r="F57" s="19" cm="1">
        <f t="array" ref="F57">IF($A57="","",
IF(AND($A57="INSUMO",$A$8="SEM DESONERAÇÃO"),_xlfn.LET(_xlpm.linha_insumo,MATCH($B57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_xlpm.preco_regional_as,INDEX($M:$M,MATCH($B57&amp;"_"&amp;$B$8,$K:$K,0)),
IF(ISERROR(_xlpm.linha_insumo),0,IF(_xlpm.preco_uf&lt;&gt;0,_xlpm.preco_uf,IF(ISNUMBER(_xlpm.preco_regional_as),_xlpm.preco_regional_as,_xlpm.preco_sp)))),
IF(AND($A57="INSUMO",$A$8="COM DESONERAÇÃO"),_xlfn.LET(_xlpm.linha_insumo,MATCH($B57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_xlpm.preco_regional_as,INDEX($N:$N,MATCH($B57&amp;"_"&amp;$B$8,$K:$K,0)),
IF(ISERROR(_xlpm.linha_insumo),0,IF(_xlpm.preco_uf&lt;&gt;0,_xlpm.preco_uf,IF(ISNUMBER(_xlpm.preco_regional_as),_xlpm.preco_regional_as,_xlpm.preco_sp)))),
IF(AND($A57="INSUMO",$A$8="SEM ENCARGOS SOCIAIS"),_xlfn.LET(_xlpm.linha_insumo,MATCH($B57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_xlpm.preco_regional_as,INDEX($L:$L,MATCH($B57&amp;"_"&amp;$B$8,$K:$K,0)),
IF(ISERROR(_xlpm.linha_insumo),0,IF(_xlpm.preco_uf&lt;&gt;0,_xlpm.preco_uf,IF(ISNUMBER(_xlpm.preco_regional_as),_xlpm.preco_regional_as,_xlpm.preco_sp)))),
IF(AND($A57="COMPOSICAO",$A$8="SEM DESONERAÇÃO"),_xlfn.XLOOKUP($B57,'CSD'!B:B,OFFSET('CSD'!$D:$D,0,MATCH($B$8,'CSD'!$E$4:$BF$4,0)),0),
IF(AND($A57="COMPOSICAO",$A$8="COM DESONERAÇÃO"),_xlfn.XLOOKUP($B57,'CCD'!B:B,OFFSET('CCD'!$D:$D,0,MATCH($B$8,'CCD'!$E$4:$BF$4,0)),0),
IF(AND($A57="COMPOSICAO",$A$8="SEM ENCARGOS SOCIAIS"),_xlfn.XLOOKUP($B57,'CSE'!B:B,OFFSET('CSE'!$D:$D,0,MATCH($B$8,'CSE'!$E$9:$BF$9,0)),0),""
)))))))</f>
        <v>0</v>
      </c>
      <c r="G57" s="19">
        <f>IF($A57="","",TRUNC(E57*F57,2))</f>
        <v>0</v>
      </c>
      <c r="H57" s="20" cm="1">
        <f t="array" ref="H57">IF($A57="","",
IF(AND($A57="INSUMO",$A$8="SEM DESONERAÇÃO"),_xlfn.LET(_xlpm.linha_insumo,MATCH($B57,'ISD'!$B:$B,0),_xlpm.coluna_uf,MATCH($B$8,'ISD'!$F$4:$AF$4,0),_xlpm.preco_uf,INDEX('ISD'!$F:$AF,_xlpm.linha_insumo,_xlpm.coluna_uf),IF(ISERROR(_xlpm.linha_insumo),"",IF(_xlpm.preco_uf&lt;&gt;0,0%,100%))),
IF(AND($A57="INSUMO",$A$8="COM DESONERAÇÃO"),_xlfn.LET(_xlpm.linha_insumo,MATCH($B57,'ICD'!$B:$B,0),_xlpm.coluna_uf,MATCH($B$8,'ICD'!$F$4:$AF$4,0),_xlpm.preco_uf,INDEX('ICD'!$F:$AF,_xlpm.linha_insumo,_xlpm.coluna_uf),IF(ISERROR(_xlpm.linha_insumo),"",IF(_xlpm.preco_uf&lt;&gt;0,0%,100%))),
IF(AND($A57="INSUMO",$A$8="SEM ENCARGOS SOCIAIS"),_xlfn.LET(_xlpm.linha_insumo,MATCH($B57,'ISE'!$B:$B,0),_xlpm.coluna_uf,MATCH($B$8,'ISE'!$F$10:$AF$10,0),_xlpm.preco_uf,INDEX('ISE'!$F:$AF,_xlpm.linha_insumo,_xlpm.coluna_uf),IF(ISERROR(_xlpm.linha_insumo),"",IF(_xlpm.preco_uf&lt;&gt;0,0%,100%))),
IF(AND($A57="COMPOSICAO",$A$8="SEM DESONERAÇÃO"),_xlfn.XLOOKUP($B57,'CSD'!B:B,OFFSET('CSD'!$D:$D,0,1+MATCH($B$8,'CSD'!$E$4:$BF$4,0)),0),
IF(AND($A57="COMPOSICAO",$A$8="COM DESONERAÇÃO"),_xlfn.XLOOKUP($B57,'CCD'!B:B,OFFSET('CCD'!$D:$D,0,1+MATCH($B$8,'CCD'!$E$4:$BF$4,0)),0),
IF(AND($A57="COMPOSICAO",$A$8="SEM ENCARGOS SOCIAIS"),_xlfn.XLOOKUP($B57,'CSE'!B:B,OFFSET('CSE'!$D:$D,0,1+MATCH($B$8,'CSE'!$E$9:$BF$9,0)),0),""
)))))))</f>
        <v>0</v>
      </c>
    </row>
    <row r="58" spans="6:8">
      <c r="F58" s="19" cm="1">
        <f t="array" ref="F58">IF($A58="","",
IF(AND($A58="INSUMO",$A$8="SEM DESONERAÇÃO"),_xlfn.LET(_xlpm.linha_insumo,MATCH($B58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_xlpm.preco_regional_as,INDEX($M:$M,MATCH($B58&amp;"_"&amp;$B$8,$K:$K,0)),
IF(ISERROR(_xlpm.linha_insumo),0,IF(_xlpm.preco_uf&lt;&gt;0,_xlpm.preco_uf,IF(ISNUMBER(_xlpm.preco_regional_as),_xlpm.preco_regional_as,_xlpm.preco_sp)))),
IF(AND($A58="INSUMO",$A$8="COM DESONERAÇÃO"),_xlfn.LET(_xlpm.linha_insumo,MATCH($B58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_xlpm.preco_regional_as,INDEX($N:$N,MATCH($B58&amp;"_"&amp;$B$8,$K:$K,0)),
IF(ISERROR(_xlpm.linha_insumo),0,IF(_xlpm.preco_uf&lt;&gt;0,_xlpm.preco_uf,IF(ISNUMBER(_xlpm.preco_regional_as),_xlpm.preco_regional_as,_xlpm.preco_sp)))),
IF(AND($A58="INSUMO",$A$8="SEM ENCARGOS SOCIAIS"),_xlfn.LET(_xlpm.linha_insumo,MATCH($B58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_xlpm.preco_regional_as,INDEX($L:$L,MATCH($B58&amp;"_"&amp;$B$8,$K:$K,0)),
IF(ISERROR(_xlpm.linha_insumo),0,IF(_xlpm.preco_uf&lt;&gt;0,_xlpm.preco_uf,IF(ISNUMBER(_xlpm.preco_regional_as),_xlpm.preco_regional_as,_xlpm.preco_sp)))),
IF(AND($A58="COMPOSICAO",$A$8="SEM DESONERAÇÃO"),_xlfn.XLOOKUP($B58,'CSD'!B:B,OFFSET('CSD'!$D:$D,0,MATCH($B$8,'CSD'!$E$4:$BF$4,0)),0),
IF(AND($A58="COMPOSICAO",$A$8="COM DESONERAÇÃO"),_xlfn.XLOOKUP($B58,'CCD'!B:B,OFFSET('CCD'!$D:$D,0,MATCH($B$8,'CCD'!$E$4:$BF$4,0)),0),
IF(AND($A58="COMPOSICAO",$A$8="SEM ENCARGOS SOCIAIS"),_xlfn.XLOOKUP($B58,'CSE'!B:B,OFFSET('CSE'!$D:$D,0,MATCH($B$8,'CSE'!$E$9:$BF$9,0)),0),""
)))))))</f>
        <v>0</v>
      </c>
      <c r="G58" s="19">
        <f>IF($A58="","",TRUNC(E58*F58,2))</f>
        <v>0</v>
      </c>
      <c r="H58" s="20" cm="1">
        <f t="array" ref="H58">IF($A58="","",
IF(AND($A58="INSUMO",$A$8="SEM DESONERAÇÃO"),_xlfn.LET(_xlpm.linha_insumo,MATCH($B58,'ISD'!$B:$B,0),_xlpm.coluna_uf,MATCH($B$8,'ISD'!$F$4:$AF$4,0),_xlpm.preco_uf,INDEX('ISD'!$F:$AF,_xlpm.linha_insumo,_xlpm.coluna_uf),IF(ISERROR(_xlpm.linha_insumo),"",IF(_xlpm.preco_uf&lt;&gt;0,0%,100%))),
IF(AND($A58="INSUMO",$A$8="COM DESONERAÇÃO"),_xlfn.LET(_xlpm.linha_insumo,MATCH($B58,'ICD'!$B:$B,0),_xlpm.coluna_uf,MATCH($B$8,'ICD'!$F$4:$AF$4,0),_xlpm.preco_uf,INDEX('ICD'!$F:$AF,_xlpm.linha_insumo,_xlpm.coluna_uf),IF(ISERROR(_xlpm.linha_insumo),"",IF(_xlpm.preco_uf&lt;&gt;0,0%,100%))),
IF(AND($A58="INSUMO",$A$8="SEM ENCARGOS SOCIAIS"),_xlfn.LET(_xlpm.linha_insumo,MATCH($B58,'ISE'!$B:$B,0),_xlpm.coluna_uf,MATCH($B$8,'ISE'!$F$10:$AF$10,0),_xlpm.preco_uf,INDEX('ISE'!$F:$AF,_xlpm.linha_insumo,_xlpm.coluna_uf),IF(ISERROR(_xlpm.linha_insumo),"",IF(_xlpm.preco_uf&lt;&gt;0,0%,100%))),
IF(AND($A58="COMPOSICAO",$A$8="SEM DESONERAÇÃO"),_xlfn.XLOOKUP($B58,'CSD'!B:B,OFFSET('CSD'!$D:$D,0,1+MATCH($B$8,'CSD'!$E$4:$BF$4,0)),0),
IF(AND($A58="COMPOSICAO",$A$8="COM DESONERAÇÃO"),_xlfn.XLOOKUP($B58,'CCD'!B:B,OFFSET('CCD'!$D:$D,0,1+MATCH($B$8,'CCD'!$E$4:$BF$4,0)),0),
IF(AND($A58="COMPOSICAO",$A$8="SEM ENCARGOS SOCIAIS"),_xlfn.XLOOKUP($B58,'CSE'!B:B,OFFSET('CSE'!$D:$D,0,1+MATCH($B$8,'CSE'!$E$9:$BF$9,0)),0),""
)))))))</f>
        <v>0</v>
      </c>
    </row>
    <row r="59" spans="6:8">
      <c r="F59" s="19" cm="1">
        <f t="array" ref="F59">IF($A59="","",
IF(AND($A59="INSUMO",$A$8="SEM DESONERAÇÃO"),_xlfn.LET(_xlpm.linha_insumo,MATCH($B59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_xlpm.preco_regional_as,INDEX($M:$M,MATCH($B59&amp;"_"&amp;$B$8,$K:$K,0)),
IF(ISERROR(_xlpm.linha_insumo),0,IF(_xlpm.preco_uf&lt;&gt;0,_xlpm.preco_uf,IF(ISNUMBER(_xlpm.preco_regional_as),_xlpm.preco_regional_as,_xlpm.preco_sp)))),
IF(AND($A59="INSUMO",$A$8="COM DESONERAÇÃO"),_xlfn.LET(_xlpm.linha_insumo,MATCH($B59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_xlpm.preco_regional_as,INDEX($N:$N,MATCH($B59&amp;"_"&amp;$B$8,$K:$K,0)),
IF(ISERROR(_xlpm.linha_insumo),0,IF(_xlpm.preco_uf&lt;&gt;0,_xlpm.preco_uf,IF(ISNUMBER(_xlpm.preco_regional_as),_xlpm.preco_regional_as,_xlpm.preco_sp)))),
IF(AND($A59="INSUMO",$A$8="SEM ENCARGOS SOCIAIS"),_xlfn.LET(_xlpm.linha_insumo,MATCH($B59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_xlpm.preco_regional_as,INDEX($L:$L,MATCH($B59&amp;"_"&amp;$B$8,$K:$K,0)),
IF(ISERROR(_xlpm.linha_insumo),0,IF(_xlpm.preco_uf&lt;&gt;0,_xlpm.preco_uf,IF(ISNUMBER(_xlpm.preco_regional_as),_xlpm.preco_regional_as,_xlpm.preco_sp)))),
IF(AND($A59="COMPOSICAO",$A$8="SEM DESONERAÇÃO"),_xlfn.XLOOKUP($B59,'CSD'!B:B,OFFSET('CSD'!$D:$D,0,MATCH($B$8,'CSD'!$E$4:$BF$4,0)),0),
IF(AND($A59="COMPOSICAO",$A$8="COM DESONERAÇÃO"),_xlfn.XLOOKUP($B59,'CCD'!B:B,OFFSET('CCD'!$D:$D,0,MATCH($B$8,'CCD'!$E$4:$BF$4,0)),0),
IF(AND($A59="COMPOSICAO",$A$8="SEM ENCARGOS SOCIAIS"),_xlfn.XLOOKUP($B59,'CSE'!B:B,OFFSET('CSE'!$D:$D,0,MATCH($B$8,'CSE'!$E$9:$BF$9,0)),0),""
)))))))</f>
        <v>0</v>
      </c>
      <c r="G59" s="19">
        <f>IF($A59="","",TRUNC(E59*F59,2))</f>
        <v>0</v>
      </c>
      <c r="H59" s="20" cm="1">
        <f t="array" ref="H59">IF($A59="","",
IF(AND($A59="INSUMO",$A$8="SEM DESONERAÇÃO"),_xlfn.LET(_xlpm.linha_insumo,MATCH($B59,'ISD'!$B:$B,0),_xlpm.coluna_uf,MATCH($B$8,'ISD'!$F$4:$AF$4,0),_xlpm.preco_uf,INDEX('ISD'!$F:$AF,_xlpm.linha_insumo,_xlpm.coluna_uf),IF(ISERROR(_xlpm.linha_insumo),"",IF(_xlpm.preco_uf&lt;&gt;0,0%,100%))),
IF(AND($A59="INSUMO",$A$8="COM DESONERAÇÃO"),_xlfn.LET(_xlpm.linha_insumo,MATCH($B59,'ICD'!$B:$B,0),_xlpm.coluna_uf,MATCH($B$8,'ICD'!$F$4:$AF$4,0),_xlpm.preco_uf,INDEX('ICD'!$F:$AF,_xlpm.linha_insumo,_xlpm.coluna_uf),IF(ISERROR(_xlpm.linha_insumo),"",IF(_xlpm.preco_uf&lt;&gt;0,0%,100%))),
IF(AND($A59="INSUMO",$A$8="SEM ENCARGOS SOCIAIS"),_xlfn.LET(_xlpm.linha_insumo,MATCH($B59,'ISE'!$B:$B,0),_xlpm.coluna_uf,MATCH($B$8,'ISE'!$F$10:$AF$10,0),_xlpm.preco_uf,INDEX('ISE'!$F:$AF,_xlpm.linha_insumo,_xlpm.coluna_uf),IF(ISERROR(_xlpm.linha_insumo),"",IF(_xlpm.preco_uf&lt;&gt;0,0%,100%))),
IF(AND($A59="COMPOSICAO",$A$8="SEM DESONERAÇÃO"),_xlfn.XLOOKUP($B59,'CSD'!B:B,OFFSET('CSD'!$D:$D,0,1+MATCH($B$8,'CSD'!$E$4:$BF$4,0)),0),
IF(AND($A59="COMPOSICAO",$A$8="COM DESONERAÇÃO"),_xlfn.XLOOKUP($B59,'CCD'!B:B,OFFSET('CCD'!$D:$D,0,1+MATCH($B$8,'CCD'!$E$4:$BF$4,0)),0),
IF(AND($A59="COMPOSICAO",$A$8="SEM ENCARGOS SOCIAIS"),_xlfn.XLOOKUP($B59,'CSE'!B:B,OFFSET('CSE'!$D:$D,0,1+MATCH($B$8,'CSE'!$E$9:$BF$9,0)),0),""
)))))))</f>
        <v>0</v>
      </c>
    </row>
    <row r="60" spans="6:8">
      <c r="F60" s="19" cm="1">
        <f t="array" ref="F60">IF($A60="","",
IF(AND($A60="INSUMO",$A$8="SEM DESONERAÇÃO"),_xlfn.LET(_xlpm.linha_insumo,MATCH($B60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_xlpm.preco_regional_as,INDEX($M:$M,MATCH($B60&amp;"_"&amp;$B$8,$K:$K,0)),
IF(ISERROR(_xlpm.linha_insumo),0,IF(_xlpm.preco_uf&lt;&gt;0,_xlpm.preco_uf,IF(ISNUMBER(_xlpm.preco_regional_as),_xlpm.preco_regional_as,_xlpm.preco_sp)))),
IF(AND($A60="INSUMO",$A$8="COM DESONERAÇÃO"),_xlfn.LET(_xlpm.linha_insumo,MATCH($B60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_xlpm.preco_regional_as,INDEX($N:$N,MATCH($B60&amp;"_"&amp;$B$8,$K:$K,0)),
IF(ISERROR(_xlpm.linha_insumo),0,IF(_xlpm.preco_uf&lt;&gt;0,_xlpm.preco_uf,IF(ISNUMBER(_xlpm.preco_regional_as),_xlpm.preco_regional_as,_xlpm.preco_sp)))),
IF(AND($A60="INSUMO",$A$8="SEM ENCARGOS SOCIAIS"),_xlfn.LET(_xlpm.linha_insumo,MATCH($B60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_xlpm.preco_regional_as,INDEX($L:$L,MATCH($B60&amp;"_"&amp;$B$8,$K:$K,0)),
IF(ISERROR(_xlpm.linha_insumo),0,IF(_xlpm.preco_uf&lt;&gt;0,_xlpm.preco_uf,IF(ISNUMBER(_xlpm.preco_regional_as),_xlpm.preco_regional_as,_xlpm.preco_sp)))),
IF(AND($A60="COMPOSICAO",$A$8="SEM DESONERAÇÃO"),_xlfn.XLOOKUP($B60,'CSD'!B:B,OFFSET('CSD'!$D:$D,0,MATCH($B$8,'CSD'!$E$4:$BF$4,0)),0),
IF(AND($A60="COMPOSICAO",$A$8="COM DESONERAÇÃO"),_xlfn.XLOOKUP($B60,'CCD'!B:B,OFFSET('CCD'!$D:$D,0,MATCH($B$8,'CCD'!$E$4:$BF$4,0)),0),
IF(AND($A60="COMPOSICAO",$A$8="SEM ENCARGOS SOCIAIS"),_xlfn.XLOOKUP($B60,'CSE'!B:B,OFFSET('CSE'!$D:$D,0,MATCH($B$8,'CSE'!$E$9:$BF$9,0)),0),""
)))))))</f>
        <v>0</v>
      </c>
      <c r="G60" s="19">
        <f>IF($A60="","",TRUNC(E60*F60,2))</f>
        <v>0</v>
      </c>
      <c r="H60" s="20" cm="1">
        <f t="array" ref="H60">IF($A60="","",
IF(AND($A60="INSUMO",$A$8="SEM DESONERAÇÃO"),_xlfn.LET(_xlpm.linha_insumo,MATCH($B60,'ISD'!$B:$B,0),_xlpm.coluna_uf,MATCH($B$8,'ISD'!$F$4:$AF$4,0),_xlpm.preco_uf,INDEX('ISD'!$F:$AF,_xlpm.linha_insumo,_xlpm.coluna_uf),IF(ISERROR(_xlpm.linha_insumo),"",IF(_xlpm.preco_uf&lt;&gt;0,0%,100%))),
IF(AND($A60="INSUMO",$A$8="COM DESONERAÇÃO"),_xlfn.LET(_xlpm.linha_insumo,MATCH($B60,'ICD'!$B:$B,0),_xlpm.coluna_uf,MATCH($B$8,'ICD'!$F$4:$AF$4,0),_xlpm.preco_uf,INDEX('ICD'!$F:$AF,_xlpm.linha_insumo,_xlpm.coluna_uf),IF(ISERROR(_xlpm.linha_insumo),"",IF(_xlpm.preco_uf&lt;&gt;0,0%,100%))),
IF(AND($A60="INSUMO",$A$8="SEM ENCARGOS SOCIAIS"),_xlfn.LET(_xlpm.linha_insumo,MATCH($B60,'ISE'!$B:$B,0),_xlpm.coluna_uf,MATCH($B$8,'ISE'!$F$10:$AF$10,0),_xlpm.preco_uf,INDEX('ISE'!$F:$AF,_xlpm.linha_insumo,_xlpm.coluna_uf),IF(ISERROR(_xlpm.linha_insumo),"",IF(_xlpm.preco_uf&lt;&gt;0,0%,100%))),
IF(AND($A60="COMPOSICAO",$A$8="SEM DESONERAÇÃO"),_xlfn.XLOOKUP($B60,'CSD'!B:B,OFFSET('CSD'!$D:$D,0,1+MATCH($B$8,'CSD'!$E$4:$BF$4,0)),0),
IF(AND($A60="COMPOSICAO",$A$8="COM DESONERAÇÃO"),_xlfn.XLOOKUP($B60,'CCD'!B:B,OFFSET('CCD'!$D:$D,0,1+MATCH($B$8,'CCD'!$E$4:$BF$4,0)),0),
IF(AND($A60="COMPOSICAO",$A$8="SEM ENCARGOS SOCIAIS"),_xlfn.XLOOKUP($B60,'CSE'!B:B,OFFSET('CSE'!$D:$D,0,1+MATCH($B$8,'CSE'!$E$9:$BF$9,0)),0),""
)))))))</f>
        <v>0</v>
      </c>
    </row>
    <row r="61" spans="6:8">
      <c r="F61" s="19" cm="1">
        <f t="array" ref="F61">IF($A61="","",
IF(AND($A61="INSUMO",$A$8="SEM DESONERAÇÃO"),_xlfn.LET(_xlpm.linha_insumo,MATCH($B61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_xlpm.preco_regional_as,INDEX($M:$M,MATCH($B61&amp;"_"&amp;$B$8,$K:$K,0)),
IF(ISERROR(_xlpm.linha_insumo),0,IF(_xlpm.preco_uf&lt;&gt;0,_xlpm.preco_uf,IF(ISNUMBER(_xlpm.preco_regional_as),_xlpm.preco_regional_as,_xlpm.preco_sp)))),
IF(AND($A61="INSUMO",$A$8="COM DESONERAÇÃO"),_xlfn.LET(_xlpm.linha_insumo,MATCH($B61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_xlpm.preco_regional_as,INDEX($N:$N,MATCH($B61&amp;"_"&amp;$B$8,$K:$K,0)),
IF(ISERROR(_xlpm.linha_insumo),0,IF(_xlpm.preco_uf&lt;&gt;0,_xlpm.preco_uf,IF(ISNUMBER(_xlpm.preco_regional_as),_xlpm.preco_regional_as,_xlpm.preco_sp)))),
IF(AND($A61="INSUMO",$A$8="SEM ENCARGOS SOCIAIS"),_xlfn.LET(_xlpm.linha_insumo,MATCH($B61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_xlpm.preco_regional_as,INDEX($L:$L,MATCH($B61&amp;"_"&amp;$B$8,$K:$K,0)),
IF(ISERROR(_xlpm.linha_insumo),0,IF(_xlpm.preco_uf&lt;&gt;0,_xlpm.preco_uf,IF(ISNUMBER(_xlpm.preco_regional_as),_xlpm.preco_regional_as,_xlpm.preco_sp)))),
IF(AND($A61="COMPOSICAO",$A$8="SEM DESONERAÇÃO"),_xlfn.XLOOKUP($B61,'CSD'!B:B,OFFSET('CSD'!$D:$D,0,MATCH($B$8,'CSD'!$E$4:$BF$4,0)),0),
IF(AND($A61="COMPOSICAO",$A$8="COM DESONERAÇÃO"),_xlfn.XLOOKUP($B61,'CCD'!B:B,OFFSET('CCD'!$D:$D,0,MATCH($B$8,'CCD'!$E$4:$BF$4,0)),0),
IF(AND($A61="COMPOSICAO",$A$8="SEM ENCARGOS SOCIAIS"),_xlfn.XLOOKUP($B61,'CSE'!B:B,OFFSET('CSE'!$D:$D,0,MATCH($B$8,'CSE'!$E$9:$BF$9,0)),0),""
)))))))</f>
        <v>0</v>
      </c>
      <c r="G61" s="19">
        <f>IF($A61="","",TRUNC(E61*F61,2))</f>
        <v>0</v>
      </c>
      <c r="H61" s="20" cm="1">
        <f t="array" ref="H61">IF($A61="","",
IF(AND($A61="INSUMO",$A$8="SEM DESONERAÇÃO"),_xlfn.LET(_xlpm.linha_insumo,MATCH($B61,'ISD'!$B:$B,0),_xlpm.coluna_uf,MATCH($B$8,'ISD'!$F$4:$AF$4,0),_xlpm.preco_uf,INDEX('ISD'!$F:$AF,_xlpm.linha_insumo,_xlpm.coluna_uf),IF(ISERROR(_xlpm.linha_insumo),"",IF(_xlpm.preco_uf&lt;&gt;0,0%,100%))),
IF(AND($A61="INSUMO",$A$8="COM DESONERAÇÃO"),_xlfn.LET(_xlpm.linha_insumo,MATCH($B61,'ICD'!$B:$B,0),_xlpm.coluna_uf,MATCH($B$8,'ICD'!$F$4:$AF$4,0),_xlpm.preco_uf,INDEX('ICD'!$F:$AF,_xlpm.linha_insumo,_xlpm.coluna_uf),IF(ISERROR(_xlpm.linha_insumo),"",IF(_xlpm.preco_uf&lt;&gt;0,0%,100%))),
IF(AND($A61="INSUMO",$A$8="SEM ENCARGOS SOCIAIS"),_xlfn.LET(_xlpm.linha_insumo,MATCH($B61,'ISE'!$B:$B,0),_xlpm.coluna_uf,MATCH($B$8,'ISE'!$F$10:$AF$10,0),_xlpm.preco_uf,INDEX('ISE'!$F:$AF,_xlpm.linha_insumo,_xlpm.coluna_uf),IF(ISERROR(_xlpm.linha_insumo),"",IF(_xlpm.preco_uf&lt;&gt;0,0%,100%))),
IF(AND($A61="COMPOSICAO",$A$8="SEM DESONERAÇÃO"),_xlfn.XLOOKUP($B61,'CSD'!B:B,OFFSET('CSD'!$D:$D,0,1+MATCH($B$8,'CSD'!$E$4:$BF$4,0)),0),
IF(AND($A61="COMPOSICAO",$A$8="COM DESONERAÇÃO"),_xlfn.XLOOKUP($B61,'CCD'!B:B,OFFSET('CCD'!$D:$D,0,1+MATCH($B$8,'CCD'!$E$4:$BF$4,0)),0),
IF(AND($A61="COMPOSICAO",$A$8="SEM ENCARGOS SOCIAIS"),_xlfn.XLOOKUP($B61,'CSE'!B:B,OFFSET('CSE'!$D:$D,0,1+MATCH($B$8,'CSE'!$E$9:$BF$9,0)),0),""
)))))))</f>
        <v>0</v>
      </c>
    </row>
    <row r="62" spans="6:8">
      <c r="F62" s="19" cm="1">
        <f t="array" ref="F62">IF($A62="","",
IF(AND($A62="INSUMO",$A$8="SEM DESONERAÇÃO"),_xlfn.LET(_xlpm.linha_insumo,MATCH($B62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_xlpm.preco_regional_as,INDEX($M:$M,MATCH($B62&amp;"_"&amp;$B$8,$K:$K,0)),
IF(ISERROR(_xlpm.linha_insumo),0,IF(_xlpm.preco_uf&lt;&gt;0,_xlpm.preco_uf,IF(ISNUMBER(_xlpm.preco_regional_as),_xlpm.preco_regional_as,_xlpm.preco_sp)))),
IF(AND($A62="INSUMO",$A$8="COM DESONERAÇÃO"),_xlfn.LET(_xlpm.linha_insumo,MATCH($B62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_xlpm.preco_regional_as,INDEX($N:$N,MATCH($B62&amp;"_"&amp;$B$8,$K:$K,0)),
IF(ISERROR(_xlpm.linha_insumo),0,IF(_xlpm.preco_uf&lt;&gt;0,_xlpm.preco_uf,IF(ISNUMBER(_xlpm.preco_regional_as),_xlpm.preco_regional_as,_xlpm.preco_sp)))),
IF(AND($A62="INSUMO",$A$8="SEM ENCARGOS SOCIAIS"),_xlfn.LET(_xlpm.linha_insumo,MATCH($B62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_xlpm.preco_regional_as,INDEX($L:$L,MATCH($B62&amp;"_"&amp;$B$8,$K:$K,0)),
IF(ISERROR(_xlpm.linha_insumo),0,IF(_xlpm.preco_uf&lt;&gt;0,_xlpm.preco_uf,IF(ISNUMBER(_xlpm.preco_regional_as),_xlpm.preco_regional_as,_xlpm.preco_sp)))),
IF(AND($A62="COMPOSICAO",$A$8="SEM DESONERAÇÃO"),_xlfn.XLOOKUP($B62,'CSD'!B:B,OFFSET('CSD'!$D:$D,0,MATCH($B$8,'CSD'!$E$4:$BF$4,0)),0),
IF(AND($A62="COMPOSICAO",$A$8="COM DESONERAÇÃO"),_xlfn.XLOOKUP($B62,'CCD'!B:B,OFFSET('CCD'!$D:$D,0,MATCH($B$8,'CCD'!$E$4:$BF$4,0)),0),
IF(AND($A62="COMPOSICAO",$A$8="SEM ENCARGOS SOCIAIS"),_xlfn.XLOOKUP($B62,'CSE'!B:B,OFFSET('CSE'!$D:$D,0,MATCH($B$8,'CSE'!$E$9:$BF$9,0)),0),""
)))))))</f>
        <v>0</v>
      </c>
      <c r="G62" s="19">
        <f>IF($A62="","",TRUNC(E62*F62,2))</f>
        <v>0</v>
      </c>
      <c r="H62" s="20" cm="1">
        <f t="array" ref="H62">IF($A62="","",
IF(AND($A62="INSUMO",$A$8="SEM DESONERAÇÃO"),_xlfn.LET(_xlpm.linha_insumo,MATCH($B62,'ISD'!$B:$B,0),_xlpm.coluna_uf,MATCH($B$8,'ISD'!$F$4:$AF$4,0),_xlpm.preco_uf,INDEX('ISD'!$F:$AF,_xlpm.linha_insumo,_xlpm.coluna_uf),IF(ISERROR(_xlpm.linha_insumo),"",IF(_xlpm.preco_uf&lt;&gt;0,0%,100%))),
IF(AND($A62="INSUMO",$A$8="COM DESONERAÇÃO"),_xlfn.LET(_xlpm.linha_insumo,MATCH($B62,'ICD'!$B:$B,0),_xlpm.coluna_uf,MATCH($B$8,'ICD'!$F$4:$AF$4,0),_xlpm.preco_uf,INDEX('ICD'!$F:$AF,_xlpm.linha_insumo,_xlpm.coluna_uf),IF(ISERROR(_xlpm.linha_insumo),"",IF(_xlpm.preco_uf&lt;&gt;0,0%,100%))),
IF(AND($A62="INSUMO",$A$8="SEM ENCARGOS SOCIAIS"),_xlfn.LET(_xlpm.linha_insumo,MATCH($B62,'ISE'!$B:$B,0),_xlpm.coluna_uf,MATCH($B$8,'ISE'!$F$10:$AF$10,0),_xlpm.preco_uf,INDEX('ISE'!$F:$AF,_xlpm.linha_insumo,_xlpm.coluna_uf),IF(ISERROR(_xlpm.linha_insumo),"",IF(_xlpm.preco_uf&lt;&gt;0,0%,100%))),
IF(AND($A62="COMPOSICAO",$A$8="SEM DESONERAÇÃO"),_xlfn.XLOOKUP($B62,'CSD'!B:B,OFFSET('CSD'!$D:$D,0,1+MATCH($B$8,'CSD'!$E$4:$BF$4,0)),0),
IF(AND($A62="COMPOSICAO",$A$8="COM DESONERAÇÃO"),_xlfn.XLOOKUP($B62,'CCD'!B:B,OFFSET('CCD'!$D:$D,0,1+MATCH($B$8,'CCD'!$E$4:$BF$4,0)),0),
IF(AND($A62="COMPOSICAO",$A$8="SEM ENCARGOS SOCIAIS"),_xlfn.XLOOKUP($B62,'CSE'!B:B,OFFSET('CSE'!$D:$D,0,1+MATCH($B$8,'CSE'!$E$9:$BF$9,0)),0),""
)))))))</f>
        <v>0</v>
      </c>
    </row>
    <row r="63" spans="6:8">
      <c r="F63" s="19" cm="1">
        <f t="array" ref="F63">IF($A63="","",
IF(AND($A63="INSUMO",$A$8="SEM DESONERAÇÃO"),_xlfn.LET(_xlpm.linha_insumo,MATCH($B63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_xlpm.preco_regional_as,INDEX($M:$M,MATCH($B63&amp;"_"&amp;$B$8,$K:$K,0)),
IF(ISERROR(_xlpm.linha_insumo),0,IF(_xlpm.preco_uf&lt;&gt;0,_xlpm.preco_uf,IF(ISNUMBER(_xlpm.preco_regional_as),_xlpm.preco_regional_as,_xlpm.preco_sp)))),
IF(AND($A63="INSUMO",$A$8="COM DESONERAÇÃO"),_xlfn.LET(_xlpm.linha_insumo,MATCH($B63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_xlpm.preco_regional_as,INDEX($N:$N,MATCH($B63&amp;"_"&amp;$B$8,$K:$K,0)),
IF(ISERROR(_xlpm.linha_insumo),0,IF(_xlpm.preco_uf&lt;&gt;0,_xlpm.preco_uf,IF(ISNUMBER(_xlpm.preco_regional_as),_xlpm.preco_regional_as,_xlpm.preco_sp)))),
IF(AND($A63="INSUMO",$A$8="SEM ENCARGOS SOCIAIS"),_xlfn.LET(_xlpm.linha_insumo,MATCH($B63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_xlpm.preco_regional_as,INDEX($L:$L,MATCH($B63&amp;"_"&amp;$B$8,$K:$K,0)),
IF(ISERROR(_xlpm.linha_insumo),0,IF(_xlpm.preco_uf&lt;&gt;0,_xlpm.preco_uf,IF(ISNUMBER(_xlpm.preco_regional_as),_xlpm.preco_regional_as,_xlpm.preco_sp)))),
IF(AND($A63="COMPOSICAO",$A$8="SEM DESONERAÇÃO"),_xlfn.XLOOKUP($B63,'CSD'!B:B,OFFSET('CSD'!$D:$D,0,MATCH($B$8,'CSD'!$E$4:$BF$4,0)),0),
IF(AND($A63="COMPOSICAO",$A$8="COM DESONERAÇÃO"),_xlfn.XLOOKUP($B63,'CCD'!B:B,OFFSET('CCD'!$D:$D,0,MATCH($B$8,'CCD'!$E$4:$BF$4,0)),0),
IF(AND($A63="COMPOSICAO",$A$8="SEM ENCARGOS SOCIAIS"),_xlfn.XLOOKUP($B63,'CSE'!B:B,OFFSET('CSE'!$D:$D,0,MATCH($B$8,'CSE'!$E$9:$BF$9,0)),0),""
)))))))</f>
        <v>0</v>
      </c>
      <c r="G63" s="19">
        <f>IF($A63="","",TRUNC(E63*F63,2))</f>
        <v>0</v>
      </c>
      <c r="H63" s="20" cm="1">
        <f t="array" ref="H63">IF($A63="","",
IF(AND($A63="INSUMO",$A$8="SEM DESONERAÇÃO"),_xlfn.LET(_xlpm.linha_insumo,MATCH($B63,'ISD'!$B:$B,0),_xlpm.coluna_uf,MATCH($B$8,'ISD'!$F$4:$AF$4,0),_xlpm.preco_uf,INDEX('ISD'!$F:$AF,_xlpm.linha_insumo,_xlpm.coluna_uf),IF(ISERROR(_xlpm.linha_insumo),"",IF(_xlpm.preco_uf&lt;&gt;0,0%,100%))),
IF(AND($A63="INSUMO",$A$8="COM DESONERAÇÃO"),_xlfn.LET(_xlpm.linha_insumo,MATCH($B63,'ICD'!$B:$B,0),_xlpm.coluna_uf,MATCH($B$8,'ICD'!$F$4:$AF$4,0),_xlpm.preco_uf,INDEX('ICD'!$F:$AF,_xlpm.linha_insumo,_xlpm.coluna_uf),IF(ISERROR(_xlpm.linha_insumo),"",IF(_xlpm.preco_uf&lt;&gt;0,0%,100%))),
IF(AND($A63="INSUMO",$A$8="SEM ENCARGOS SOCIAIS"),_xlfn.LET(_xlpm.linha_insumo,MATCH($B63,'ISE'!$B:$B,0),_xlpm.coluna_uf,MATCH($B$8,'ISE'!$F$10:$AF$10,0),_xlpm.preco_uf,INDEX('ISE'!$F:$AF,_xlpm.linha_insumo,_xlpm.coluna_uf),IF(ISERROR(_xlpm.linha_insumo),"",IF(_xlpm.preco_uf&lt;&gt;0,0%,100%))),
IF(AND($A63="COMPOSICAO",$A$8="SEM DESONERAÇÃO"),_xlfn.XLOOKUP($B63,'CSD'!B:B,OFFSET('CSD'!$D:$D,0,1+MATCH($B$8,'CSD'!$E$4:$BF$4,0)),0),
IF(AND($A63="COMPOSICAO",$A$8="COM DESONERAÇÃO"),_xlfn.XLOOKUP($B63,'CCD'!B:B,OFFSET('CCD'!$D:$D,0,1+MATCH($B$8,'CCD'!$E$4:$BF$4,0)),0),
IF(AND($A63="COMPOSICAO",$A$8="SEM ENCARGOS SOCIAIS"),_xlfn.XLOOKUP($B63,'CSE'!B:B,OFFSET('CSE'!$D:$D,0,1+MATCH($B$8,'CSE'!$E$9:$BF$9,0)),0),""
)))))))</f>
        <v>0</v>
      </c>
    </row>
    <row r="64" spans="6:8">
      <c r="F64" s="19" cm="1">
        <f t="array" ref="F64">IF($A64="","",
IF(AND($A64="INSUMO",$A$8="SEM DESONERAÇÃO"),_xlfn.LET(_xlpm.linha_insumo,MATCH($B64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_xlpm.preco_regional_as,INDEX($M:$M,MATCH($B64&amp;"_"&amp;$B$8,$K:$K,0)),
IF(ISERROR(_xlpm.linha_insumo),0,IF(_xlpm.preco_uf&lt;&gt;0,_xlpm.preco_uf,IF(ISNUMBER(_xlpm.preco_regional_as),_xlpm.preco_regional_as,_xlpm.preco_sp)))),
IF(AND($A64="INSUMO",$A$8="COM DESONERAÇÃO"),_xlfn.LET(_xlpm.linha_insumo,MATCH($B64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_xlpm.preco_regional_as,INDEX($N:$N,MATCH($B64&amp;"_"&amp;$B$8,$K:$K,0)),
IF(ISERROR(_xlpm.linha_insumo),0,IF(_xlpm.preco_uf&lt;&gt;0,_xlpm.preco_uf,IF(ISNUMBER(_xlpm.preco_regional_as),_xlpm.preco_regional_as,_xlpm.preco_sp)))),
IF(AND($A64="INSUMO",$A$8="SEM ENCARGOS SOCIAIS"),_xlfn.LET(_xlpm.linha_insumo,MATCH($B64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_xlpm.preco_regional_as,INDEX($L:$L,MATCH($B64&amp;"_"&amp;$B$8,$K:$K,0)),
IF(ISERROR(_xlpm.linha_insumo),0,IF(_xlpm.preco_uf&lt;&gt;0,_xlpm.preco_uf,IF(ISNUMBER(_xlpm.preco_regional_as),_xlpm.preco_regional_as,_xlpm.preco_sp)))),
IF(AND($A64="COMPOSICAO",$A$8="SEM DESONERAÇÃO"),_xlfn.XLOOKUP($B64,'CSD'!B:B,OFFSET('CSD'!$D:$D,0,MATCH($B$8,'CSD'!$E$4:$BF$4,0)),0),
IF(AND($A64="COMPOSICAO",$A$8="COM DESONERAÇÃO"),_xlfn.XLOOKUP($B64,'CCD'!B:B,OFFSET('CCD'!$D:$D,0,MATCH($B$8,'CCD'!$E$4:$BF$4,0)),0),
IF(AND($A64="COMPOSICAO",$A$8="SEM ENCARGOS SOCIAIS"),_xlfn.XLOOKUP($B64,'CSE'!B:B,OFFSET('CSE'!$D:$D,0,MATCH($B$8,'CSE'!$E$9:$BF$9,0)),0),""
)))))))</f>
        <v>0</v>
      </c>
      <c r="G64" s="19">
        <f>IF($A64="","",TRUNC(E64*F64,2))</f>
        <v>0</v>
      </c>
      <c r="H64" s="20" cm="1">
        <f t="array" ref="H64">IF($A64="","",
IF(AND($A64="INSUMO",$A$8="SEM DESONERAÇÃO"),_xlfn.LET(_xlpm.linha_insumo,MATCH($B64,'ISD'!$B:$B,0),_xlpm.coluna_uf,MATCH($B$8,'ISD'!$F$4:$AF$4,0),_xlpm.preco_uf,INDEX('ISD'!$F:$AF,_xlpm.linha_insumo,_xlpm.coluna_uf),IF(ISERROR(_xlpm.linha_insumo),"",IF(_xlpm.preco_uf&lt;&gt;0,0%,100%))),
IF(AND($A64="INSUMO",$A$8="COM DESONERAÇÃO"),_xlfn.LET(_xlpm.linha_insumo,MATCH($B64,'ICD'!$B:$B,0),_xlpm.coluna_uf,MATCH($B$8,'ICD'!$F$4:$AF$4,0),_xlpm.preco_uf,INDEX('ICD'!$F:$AF,_xlpm.linha_insumo,_xlpm.coluna_uf),IF(ISERROR(_xlpm.linha_insumo),"",IF(_xlpm.preco_uf&lt;&gt;0,0%,100%))),
IF(AND($A64="INSUMO",$A$8="SEM ENCARGOS SOCIAIS"),_xlfn.LET(_xlpm.linha_insumo,MATCH($B64,'ISE'!$B:$B,0),_xlpm.coluna_uf,MATCH($B$8,'ISE'!$F$10:$AF$10,0),_xlpm.preco_uf,INDEX('ISE'!$F:$AF,_xlpm.linha_insumo,_xlpm.coluna_uf),IF(ISERROR(_xlpm.linha_insumo),"",IF(_xlpm.preco_uf&lt;&gt;0,0%,100%))),
IF(AND($A64="COMPOSICAO",$A$8="SEM DESONERAÇÃO"),_xlfn.XLOOKUP($B64,'CSD'!B:B,OFFSET('CSD'!$D:$D,0,1+MATCH($B$8,'CSD'!$E$4:$BF$4,0)),0),
IF(AND($A64="COMPOSICAO",$A$8="COM DESONERAÇÃO"),_xlfn.XLOOKUP($B64,'CCD'!B:B,OFFSET('CCD'!$D:$D,0,1+MATCH($B$8,'CCD'!$E$4:$BF$4,0)),0),
IF(AND($A64="COMPOSICAO",$A$8="SEM ENCARGOS SOCIAIS"),_xlfn.XLOOKUP($B64,'CSE'!B:B,OFFSET('CSE'!$D:$D,0,1+MATCH($B$8,'CSE'!$E$9:$BF$9,0)),0),""
)))))))</f>
        <v>0</v>
      </c>
    </row>
    <row r="65" spans="6:8">
      <c r="F65" s="19" cm="1">
        <f t="array" ref="F65">IF($A65="","",
IF(AND($A65="INSUMO",$A$8="SEM DESONERAÇÃO"),_xlfn.LET(_xlpm.linha_insumo,MATCH($B65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_xlpm.preco_regional_as,INDEX($M:$M,MATCH($B65&amp;"_"&amp;$B$8,$K:$K,0)),
IF(ISERROR(_xlpm.linha_insumo),0,IF(_xlpm.preco_uf&lt;&gt;0,_xlpm.preco_uf,IF(ISNUMBER(_xlpm.preco_regional_as),_xlpm.preco_regional_as,_xlpm.preco_sp)))),
IF(AND($A65="INSUMO",$A$8="COM DESONERAÇÃO"),_xlfn.LET(_xlpm.linha_insumo,MATCH($B65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_xlpm.preco_regional_as,INDEX($N:$N,MATCH($B65&amp;"_"&amp;$B$8,$K:$K,0)),
IF(ISERROR(_xlpm.linha_insumo),0,IF(_xlpm.preco_uf&lt;&gt;0,_xlpm.preco_uf,IF(ISNUMBER(_xlpm.preco_regional_as),_xlpm.preco_regional_as,_xlpm.preco_sp)))),
IF(AND($A65="INSUMO",$A$8="SEM ENCARGOS SOCIAIS"),_xlfn.LET(_xlpm.linha_insumo,MATCH($B65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_xlpm.preco_regional_as,INDEX($L:$L,MATCH($B65&amp;"_"&amp;$B$8,$K:$K,0)),
IF(ISERROR(_xlpm.linha_insumo),0,IF(_xlpm.preco_uf&lt;&gt;0,_xlpm.preco_uf,IF(ISNUMBER(_xlpm.preco_regional_as),_xlpm.preco_regional_as,_xlpm.preco_sp)))),
IF(AND($A65="COMPOSICAO",$A$8="SEM DESONERAÇÃO"),_xlfn.XLOOKUP($B65,'CSD'!B:B,OFFSET('CSD'!$D:$D,0,MATCH($B$8,'CSD'!$E$4:$BF$4,0)),0),
IF(AND($A65="COMPOSICAO",$A$8="COM DESONERAÇÃO"),_xlfn.XLOOKUP($B65,'CCD'!B:B,OFFSET('CCD'!$D:$D,0,MATCH($B$8,'CCD'!$E$4:$BF$4,0)),0),
IF(AND($A65="COMPOSICAO",$A$8="SEM ENCARGOS SOCIAIS"),_xlfn.XLOOKUP($B65,'CSE'!B:B,OFFSET('CSE'!$D:$D,0,MATCH($B$8,'CSE'!$E$9:$BF$9,0)),0),""
)))))))</f>
        <v>0</v>
      </c>
      <c r="G65" s="19">
        <f>IF($A65="","",TRUNC(E65*F65,2))</f>
        <v>0</v>
      </c>
      <c r="H65" s="20" cm="1">
        <f t="array" ref="H65">IF($A65="","",
IF(AND($A65="INSUMO",$A$8="SEM DESONERAÇÃO"),_xlfn.LET(_xlpm.linha_insumo,MATCH($B65,'ISD'!$B:$B,0),_xlpm.coluna_uf,MATCH($B$8,'ISD'!$F$4:$AF$4,0),_xlpm.preco_uf,INDEX('ISD'!$F:$AF,_xlpm.linha_insumo,_xlpm.coluna_uf),IF(ISERROR(_xlpm.linha_insumo),"",IF(_xlpm.preco_uf&lt;&gt;0,0%,100%))),
IF(AND($A65="INSUMO",$A$8="COM DESONERAÇÃO"),_xlfn.LET(_xlpm.linha_insumo,MATCH($B65,'ICD'!$B:$B,0),_xlpm.coluna_uf,MATCH($B$8,'ICD'!$F$4:$AF$4,0),_xlpm.preco_uf,INDEX('ICD'!$F:$AF,_xlpm.linha_insumo,_xlpm.coluna_uf),IF(ISERROR(_xlpm.linha_insumo),"",IF(_xlpm.preco_uf&lt;&gt;0,0%,100%))),
IF(AND($A65="INSUMO",$A$8="SEM ENCARGOS SOCIAIS"),_xlfn.LET(_xlpm.linha_insumo,MATCH($B65,'ISE'!$B:$B,0),_xlpm.coluna_uf,MATCH($B$8,'ISE'!$F$10:$AF$10,0),_xlpm.preco_uf,INDEX('ISE'!$F:$AF,_xlpm.linha_insumo,_xlpm.coluna_uf),IF(ISERROR(_xlpm.linha_insumo),"",IF(_xlpm.preco_uf&lt;&gt;0,0%,100%))),
IF(AND($A65="COMPOSICAO",$A$8="SEM DESONERAÇÃO"),_xlfn.XLOOKUP($B65,'CSD'!B:B,OFFSET('CSD'!$D:$D,0,1+MATCH($B$8,'CSD'!$E$4:$BF$4,0)),0),
IF(AND($A65="COMPOSICAO",$A$8="COM DESONERAÇÃO"),_xlfn.XLOOKUP($B65,'CCD'!B:B,OFFSET('CCD'!$D:$D,0,1+MATCH($B$8,'CCD'!$E$4:$BF$4,0)),0),
IF(AND($A65="COMPOSICAO",$A$8="SEM ENCARGOS SOCIAIS"),_xlfn.XLOOKUP($B65,'CSE'!B:B,OFFSET('CSE'!$D:$D,0,1+MATCH($B$8,'CSE'!$E$9:$BF$9,0)),0),""
)))))))</f>
        <v>0</v>
      </c>
    </row>
    <row r="66" spans="6:8">
      <c r="F66" s="19" cm="1">
        <f t="array" ref="F66">IF($A66="","",
IF(AND($A66="INSUMO",$A$8="SEM DESONERAÇÃO"),_xlfn.LET(_xlpm.linha_insumo,MATCH($B66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_xlpm.preco_regional_as,INDEX($M:$M,MATCH($B66&amp;"_"&amp;$B$8,$K:$K,0)),
IF(ISERROR(_xlpm.linha_insumo),0,IF(_xlpm.preco_uf&lt;&gt;0,_xlpm.preco_uf,IF(ISNUMBER(_xlpm.preco_regional_as),_xlpm.preco_regional_as,_xlpm.preco_sp)))),
IF(AND($A66="INSUMO",$A$8="COM DESONERAÇÃO"),_xlfn.LET(_xlpm.linha_insumo,MATCH($B66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_xlpm.preco_regional_as,INDEX($N:$N,MATCH($B66&amp;"_"&amp;$B$8,$K:$K,0)),
IF(ISERROR(_xlpm.linha_insumo),0,IF(_xlpm.preco_uf&lt;&gt;0,_xlpm.preco_uf,IF(ISNUMBER(_xlpm.preco_regional_as),_xlpm.preco_regional_as,_xlpm.preco_sp)))),
IF(AND($A66="INSUMO",$A$8="SEM ENCARGOS SOCIAIS"),_xlfn.LET(_xlpm.linha_insumo,MATCH($B66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_xlpm.preco_regional_as,INDEX($L:$L,MATCH($B66&amp;"_"&amp;$B$8,$K:$K,0)),
IF(ISERROR(_xlpm.linha_insumo),0,IF(_xlpm.preco_uf&lt;&gt;0,_xlpm.preco_uf,IF(ISNUMBER(_xlpm.preco_regional_as),_xlpm.preco_regional_as,_xlpm.preco_sp)))),
IF(AND($A66="COMPOSICAO",$A$8="SEM DESONERAÇÃO"),_xlfn.XLOOKUP($B66,'CSD'!B:B,OFFSET('CSD'!$D:$D,0,MATCH($B$8,'CSD'!$E$4:$BF$4,0)),0),
IF(AND($A66="COMPOSICAO",$A$8="COM DESONERAÇÃO"),_xlfn.XLOOKUP($B66,'CCD'!B:B,OFFSET('CCD'!$D:$D,0,MATCH($B$8,'CCD'!$E$4:$BF$4,0)),0),
IF(AND($A66="COMPOSICAO",$A$8="SEM ENCARGOS SOCIAIS"),_xlfn.XLOOKUP($B66,'CSE'!B:B,OFFSET('CSE'!$D:$D,0,MATCH($B$8,'CSE'!$E$9:$BF$9,0)),0),""
)))))))</f>
        <v>0</v>
      </c>
      <c r="G66" s="19">
        <f>IF($A66="","",TRUNC(E66*F66,2))</f>
        <v>0</v>
      </c>
      <c r="H66" s="20" cm="1">
        <f t="array" ref="H66">IF($A66="","",
IF(AND($A66="INSUMO",$A$8="SEM DESONERAÇÃO"),_xlfn.LET(_xlpm.linha_insumo,MATCH($B66,'ISD'!$B:$B,0),_xlpm.coluna_uf,MATCH($B$8,'ISD'!$F$4:$AF$4,0),_xlpm.preco_uf,INDEX('ISD'!$F:$AF,_xlpm.linha_insumo,_xlpm.coluna_uf),IF(ISERROR(_xlpm.linha_insumo),"",IF(_xlpm.preco_uf&lt;&gt;0,0%,100%))),
IF(AND($A66="INSUMO",$A$8="COM DESONERAÇÃO"),_xlfn.LET(_xlpm.linha_insumo,MATCH($B66,'ICD'!$B:$B,0),_xlpm.coluna_uf,MATCH($B$8,'ICD'!$F$4:$AF$4,0),_xlpm.preco_uf,INDEX('ICD'!$F:$AF,_xlpm.linha_insumo,_xlpm.coluna_uf),IF(ISERROR(_xlpm.linha_insumo),"",IF(_xlpm.preco_uf&lt;&gt;0,0%,100%))),
IF(AND($A66="INSUMO",$A$8="SEM ENCARGOS SOCIAIS"),_xlfn.LET(_xlpm.linha_insumo,MATCH($B66,'ISE'!$B:$B,0),_xlpm.coluna_uf,MATCH($B$8,'ISE'!$F$10:$AF$10,0),_xlpm.preco_uf,INDEX('ISE'!$F:$AF,_xlpm.linha_insumo,_xlpm.coluna_uf),IF(ISERROR(_xlpm.linha_insumo),"",IF(_xlpm.preco_uf&lt;&gt;0,0%,100%))),
IF(AND($A66="COMPOSICAO",$A$8="SEM DESONERAÇÃO"),_xlfn.XLOOKUP($B66,'CSD'!B:B,OFFSET('CSD'!$D:$D,0,1+MATCH($B$8,'CSD'!$E$4:$BF$4,0)),0),
IF(AND($A66="COMPOSICAO",$A$8="COM DESONERAÇÃO"),_xlfn.XLOOKUP($B66,'CCD'!B:B,OFFSET('CCD'!$D:$D,0,1+MATCH($B$8,'CCD'!$E$4:$BF$4,0)),0),
IF(AND($A66="COMPOSICAO",$A$8="SEM ENCARGOS SOCIAIS"),_xlfn.XLOOKUP($B66,'CSE'!B:B,OFFSET('CSE'!$D:$D,0,1+MATCH($B$8,'CSE'!$E$9:$BF$9,0)),0),""
)))))))</f>
        <v>0</v>
      </c>
    </row>
    <row r="67" spans="6:8">
      <c r="F67" s="19" cm="1">
        <f t="array" ref="F67">IF($A67="","",
IF(AND($A67="INSUMO",$A$8="SEM DESONERAÇÃO"),_xlfn.LET(_xlpm.linha_insumo,MATCH($B67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_xlpm.preco_regional_as,INDEX($M:$M,MATCH($B67&amp;"_"&amp;$B$8,$K:$K,0)),
IF(ISERROR(_xlpm.linha_insumo),0,IF(_xlpm.preco_uf&lt;&gt;0,_xlpm.preco_uf,IF(ISNUMBER(_xlpm.preco_regional_as),_xlpm.preco_regional_as,_xlpm.preco_sp)))),
IF(AND($A67="INSUMO",$A$8="COM DESONERAÇÃO"),_xlfn.LET(_xlpm.linha_insumo,MATCH($B67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_xlpm.preco_regional_as,INDEX($N:$N,MATCH($B67&amp;"_"&amp;$B$8,$K:$K,0)),
IF(ISERROR(_xlpm.linha_insumo),0,IF(_xlpm.preco_uf&lt;&gt;0,_xlpm.preco_uf,IF(ISNUMBER(_xlpm.preco_regional_as),_xlpm.preco_regional_as,_xlpm.preco_sp)))),
IF(AND($A67="INSUMO",$A$8="SEM ENCARGOS SOCIAIS"),_xlfn.LET(_xlpm.linha_insumo,MATCH($B67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_xlpm.preco_regional_as,INDEX($L:$L,MATCH($B67&amp;"_"&amp;$B$8,$K:$K,0)),
IF(ISERROR(_xlpm.linha_insumo),0,IF(_xlpm.preco_uf&lt;&gt;0,_xlpm.preco_uf,IF(ISNUMBER(_xlpm.preco_regional_as),_xlpm.preco_regional_as,_xlpm.preco_sp)))),
IF(AND($A67="COMPOSICAO",$A$8="SEM DESONERAÇÃO"),_xlfn.XLOOKUP($B67,'CSD'!B:B,OFFSET('CSD'!$D:$D,0,MATCH($B$8,'CSD'!$E$4:$BF$4,0)),0),
IF(AND($A67="COMPOSICAO",$A$8="COM DESONERAÇÃO"),_xlfn.XLOOKUP($B67,'CCD'!B:B,OFFSET('CCD'!$D:$D,0,MATCH($B$8,'CCD'!$E$4:$BF$4,0)),0),
IF(AND($A67="COMPOSICAO",$A$8="SEM ENCARGOS SOCIAIS"),_xlfn.XLOOKUP($B67,'CSE'!B:B,OFFSET('CSE'!$D:$D,0,MATCH($B$8,'CSE'!$E$9:$BF$9,0)),0),""
)))))))</f>
        <v>0</v>
      </c>
      <c r="G67" s="19">
        <f>IF($A67="","",TRUNC(E67*F67,2))</f>
        <v>0</v>
      </c>
      <c r="H67" s="20" cm="1">
        <f t="array" ref="H67">IF($A67="","",
IF(AND($A67="INSUMO",$A$8="SEM DESONERAÇÃO"),_xlfn.LET(_xlpm.linha_insumo,MATCH($B67,'ISD'!$B:$B,0),_xlpm.coluna_uf,MATCH($B$8,'ISD'!$F$4:$AF$4,0),_xlpm.preco_uf,INDEX('ISD'!$F:$AF,_xlpm.linha_insumo,_xlpm.coluna_uf),IF(ISERROR(_xlpm.linha_insumo),"",IF(_xlpm.preco_uf&lt;&gt;0,0%,100%))),
IF(AND($A67="INSUMO",$A$8="COM DESONERAÇÃO"),_xlfn.LET(_xlpm.linha_insumo,MATCH($B67,'ICD'!$B:$B,0),_xlpm.coluna_uf,MATCH($B$8,'ICD'!$F$4:$AF$4,0),_xlpm.preco_uf,INDEX('ICD'!$F:$AF,_xlpm.linha_insumo,_xlpm.coluna_uf),IF(ISERROR(_xlpm.linha_insumo),"",IF(_xlpm.preco_uf&lt;&gt;0,0%,100%))),
IF(AND($A67="INSUMO",$A$8="SEM ENCARGOS SOCIAIS"),_xlfn.LET(_xlpm.linha_insumo,MATCH($B67,'ISE'!$B:$B,0),_xlpm.coluna_uf,MATCH($B$8,'ISE'!$F$10:$AF$10,0),_xlpm.preco_uf,INDEX('ISE'!$F:$AF,_xlpm.linha_insumo,_xlpm.coluna_uf),IF(ISERROR(_xlpm.linha_insumo),"",IF(_xlpm.preco_uf&lt;&gt;0,0%,100%))),
IF(AND($A67="COMPOSICAO",$A$8="SEM DESONERAÇÃO"),_xlfn.XLOOKUP($B67,'CSD'!B:B,OFFSET('CSD'!$D:$D,0,1+MATCH($B$8,'CSD'!$E$4:$BF$4,0)),0),
IF(AND($A67="COMPOSICAO",$A$8="COM DESONERAÇÃO"),_xlfn.XLOOKUP($B67,'CCD'!B:B,OFFSET('CCD'!$D:$D,0,1+MATCH($B$8,'CCD'!$E$4:$BF$4,0)),0),
IF(AND($A67="COMPOSICAO",$A$8="SEM ENCARGOS SOCIAIS"),_xlfn.XLOOKUP($B67,'CSE'!B:B,OFFSET('CSE'!$D:$D,0,1+MATCH($B$8,'CSE'!$E$9:$BF$9,0)),0),""
)))))))</f>
        <v>0</v>
      </c>
    </row>
    <row r="68" spans="6:8">
      <c r="F68" s="19" cm="1">
        <f t="array" ref="F68">IF($A68="","",
IF(AND($A68="INSUMO",$A$8="SEM DESONERAÇÃO"),_xlfn.LET(_xlpm.linha_insumo,MATCH($B68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_xlpm.preco_regional_as,INDEX($M:$M,MATCH($B68&amp;"_"&amp;$B$8,$K:$K,0)),
IF(ISERROR(_xlpm.linha_insumo),0,IF(_xlpm.preco_uf&lt;&gt;0,_xlpm.preco_uf,IF(ISNUMBER(_xlpm.preco_regional_as),_xlpm.preco_regional_as,_xlpm.preco_sp)))),
IF(AND($A68="INSUMO",$A$8="COM DESONERAÇÃO"),_xlfn.LET(_xlpm.linha_insumo,MATCH($B68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_xlpm.preco_regional_as,INDEX($N:$N,MATCH($B68&amp;"_"&amp;$B$8,$K:$K,0)),
IF(ISERROR(_xlpm.linha_insumo),0,IF(_xlpm.preco_uf&lt;&gt;0,_xlpm.preco_uf,IF(ISNUMBER(_xlpm.preco_regional_as),_xlpm.preco_regional_as,_xlpm.preco_sp)))),
IF(AND($A68="INSUMO",$A$8="SEM ENCARGOS SOCIAIS"),_xlfn.LET(_xlpm.linha_insumo,MATCH($B68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_xlpm.preco_regional_as,INDEX($L:$L,MATCH($B68&amp;"_"&amp;$B$8,$K:$K,0)),
IF(ISERROR(_xlpm.linha_insumo),0,IF(_xlpm.preco_uf&lt;&gt;0,_xlpm.preco_uf,IF(ISNUMBER(_xlpm.preco_regional_as),_xlpm.preco_regional_as,_xlpm.preco_sp)))),
IF(AND($A68="COMPOSICAO",$A$8="SEM DESONERAÇÃO"),_xlfn.XLOOKUP($B68,'CSD'!B:B,OFFSET('CSD'!$D:$D,0,MATCH($B$8,'CSD'!$E$4:$BF$4,0)),0),
IF(AND($A68="COMPOSICAO",$A$8="COM DESONERAÇÃO"),_xlfn.XLOOKUP($B68,'CCD'!B:B,OFFSET('CCD'!$D:$D,0,MATCH($B$8,'CCD'!$E$4:$BF$4,0)),0),
IF(AND($A68="COMPOSICAO",$A$8="SEM ENCARGOS SOCIAIS"),_xlfn.XLOOKUP($B68,'CSE'!B:B,OFFSET('CSE'!$D:$D,0,MATCH($B$8,'CSE'!$E$9:$BF$9,0)),0),""
)))))))</f>
        <v>0</v>
      </c>
      <c r="G68" s="19">
        <f>IF($A68="","",TRUNC(E68*F68,2))</f>
        <v>0</v>
      </c>
      <c r="H68" s="20" cm="1">
        <f t="array" ref="H68">IF($A68="","",
IF(AND($A68="INSUMO",$A$8="SEM DESONERAÇÃO"),_xlfn.LET(_xlpm.linha_insumo,MATCH($B68,'ISD'!$B:$B,0),_xlpm.coluna_uf,MATCH($B$8,'ISD'!$F$4:$AF$4,0),_xlpm.preco_uf,INDEX('ISD'!$F:$AF,_xlpm.linha_insumo,_xlpm.coluna_uf),IF(ISERROR(_xlpm.linha_insumo),"",IF(_xlpm.preco_uf&lt;&gt;0,0%,100%))),
IF(AND($A68="INSUMO",$A$8="COM DESONERAÇÃO"),_xlfn.LET(_xlpm.linha_insumo,MATCH($B68,'ICD'!$B:$B,0),_xlpm.coluna_uf,MATCH($B$8,'ICD'!$F$4:$AF$4,0),_xlpm.preco_uf,INDEX('ICD'!$F:$AF,_xlpm.linha_insumo,_xlpm.coluna_uf),IF(ISERROR(_xlpm.linha_insumo),"",IF(_xlpm.preco_uf&lt;&gt;0,0%,100%))),
IF(AND($A68="INSUMO",$A$8="SEM ENCARGOS SOCIAIS"),_xlfn.LET(_xlpm.linha_insumo,MATCH($B68,'ISE'!$B:$B,0),_xlpm.coluna_uf,MATCH($B$8,'ISE'!$F$10:$AF$10,0),_xlpm.preco_uf,INDEX('ISE'!$F:$AF,_xlpm.linha_insumo,_xlpm.coluna_uf),IF(ISERROR(_xlpm.linha_insumo),"",IF(_xlpm.preco_uf&lt;&gt;0,0%,100%))),
IF(AND($A68="COMPOSICAO",$A$8="SEM DESONERAÇÃO"),_xlfn.XLOOKUP($B68,'CSD'!B:B,OFFSET('CSD'!$D:$D,0,1+MATCH($B$8,'CSD'!$E$4:$BF$4,0)),0),
IF(AND($A68="COMPOSICAO",$A$8="COM DESONERAÇÃO"),_xlfn.XLOOKUP($B68,'CCD'!B:B,OFFSET('CCD'!$D:$D,0,1+MATCH($B$8,'CCD'!$E$4:$BF$4,0)),0),
IF(AND($A68="COMPOSICAO",$A$8="SEM ENCARGOS SOCIAIS"),_xlfn.XLOOKUP($B68,'CSE'!B:B,OFFSET('CSE'!$D:$D,0,1+MATCH($B$8,'CSE'!$E$9:$BF$9,0)),0),""
)))))))</f>
        <v>0</v>
      </c>
    </row>
    <row r="69" spans="6:8">
      <c r="F69" s="19" cm="1">
        <f t="array" ref="F69">IF($A69="","",
IF(AND($A69="INSUMO",$A$8="SEM DESONERAÇÃO"),_xlfn.LET(_xlpm.linha_insumo,MATCH($B69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_xlpm.preco_regional_as,INDEX($M:$M,MATCH($B69&amp;"_"&amp;$B$8,$K:$K,0)),
IF(ISERROR(_xlpm.linha_insumo),0,IF(_xlpm.preco_uf&lt;&gt;0,_xlpm.preco_uf,IF(ISNUMBER(_xlpm.preco_regional_as),_xlpm.preco_regional_as,_xlpm.preco_sp)))),
IF(AND($A69="INSUMO",$A$8="COM DESONERAÇÃO"),_xlfn.LET(_xlpm.linha_insumo,MATCH($B69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_xlpm.preco_regional_as,INDEX($N:$N,MATCH($B69&amp;"_"&amp;$B$8,$K:$K,0)),
IF(ISERROR(_xlpm.linha_insumo),0,IF(_xlpm.preco_uf&lt;&gt;0,_xlpm.preco_uf,IF(ISNUMBER(_xlpm.preco_regional_as),_xlpm.preco_regional_as,_xlpm.preco_sp)))),
IF(AND($A69="INSUMO",$A$8="SEM ENCARGOS SOCIAIS"),_xlfn.LET(_xlpm.linha_insumo,MATCH($B69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_xlpm.preco_regional_as,INDEX($L:$L,MATCH($B69&amp;"_"&amp;$B$8,$K:$K,0)),
IF(ISERROR(_xlpm.linha_insumo),0,IF(_xlpm.preco_uf&lt;&gt;0,_xlpm.preco_uf,IF(ISNUMBER(_xlpm.preco_regional_as),_xlpm.preco_regional_as,_xlpm.preco_sp)))),
IF(AND($A69="COMPOSICAO",$A$8="SEM DESONERAÇÃO"),_xlfn.XLOOKUP($B69,'CSD'!B:B,OFFSET('CSD'!$D:$D,0,MATCH($B$8,'CSD'!$E$4:$BF$4,0)),0),
IF(AND($A69="COMPOSICAO",$A$8="COM DESONERAÇÃO"),_xlfn.XLOOKUP($B69,'CCD'!B:B,OFFSET('CCD'!$D:$D,0,MATCH($B$8,'CCD'!$E$4:$BF$4,0)),0),
IF(AND($A69="COMPOSICAO",$A$8="SEM ENCARGOS SOCIAIS"),_xlfn.XLOOKUP($B69,'CSE'!B:B,OFFSET('CSE'!$D:$D,0,MATCH($B$8,'CSE'!$E$9:$BF$9,0)),0),""
)))))))</f>
        <v>0</v>
      </c>
      <c r="G69" s="19">
        <f>IF($A69="","",TRUNC(E69*F69,2))</f>
        <v>0</v>
      </c>
      <c r="H69" s="20" cm="1">
        <f t="array" ref="H69">IF($A69="","",
IF(AND($A69="INSUMO",$A$8="SEM DESONERAÇÃO"),_xlfn.LET(_xlpm.linha_insumo,MATCH($B69,'ISD'!$B:$B,0),_xlpm.coluna_uf,MATCH($B$8,'ISD'!$F$4:$AF$4,0),_xlpm.preco_uf,INDEX('ISD'!$F:$AF,_xlpm.linha_insumo,_xlpm.coluna_uf),IF(ISERROR(_xlpm.linha_insumo),"",IF(_xlpm.preco_uf&lt;&gt;0,0%,100%))),
IF(AND($A69="INSUMO",$A$8="COM DESONERAÇÃO"),_xlfn.LET(_xlpm.linha_insumo,MATCH($B69,'ICD'!$B:$B,0),_xlpm.coluna_uf,MATCH($B$8,'ICD'!$F$4:$AF$4,0),_xlpm.preco_uf,INDEX('ICD'!$F:$AF,_xlpm.linha_insumo,_xlpm.coluna_uf),IF(ISERROR(_xlpm.linha_insumo),"",IF(_xlpm.preco_uf&lt;&gt;0,0%,100%))),
IF(AND($A69="INSUMO",$A$8="SEM ENCARGOS SOCIAIS"),_xlfn.LET(_xlpm.linha_insumo,MATCH($B69,'ISE'!$B:$B,0),_xlpm.coluna_uf,MATCH($B$8,'ISE'!$F$10:$AF$10,0),_xlpm.preco_uf,INDEX('ISE'!$F:$AF,_xlpm.linha_insumo,_xlpm.coluna_uf),IF(ISERROR(_xlpm.linha_insumo),"",IF(_xlpm.preco_uf&lt;&gt;0,0%,100%))),
IF(AND($A69="COMPOSICAO",$A$8="SEM DESONERAÇÃO"),_xlfn.XLOOKUP($B69,'CSD'!B:B,OFFSET('CSD'!$D:$D,0,1+MATCH($B$8,'CSD'!$E$4:$BF$4,0)),0),
IF(AND($A69="COMPOSICAO",$A$8="COM DESONERAÇÃO"),_xlfn.XLOOKUP($B69,'CCD'!B:B,OFFSET('CCD'!$D:$D,0,1+MATCH($B$8,'CCD'!$E$4:$BF$4,0)),0),
IF(AND($A69="COMPOSICAO",$A$8="SEM ENCARGOS SOCIAIS"),_xlfn.XLOOKUP($B69,'CSE'!B:B,OFFSET('CSE'!$D:$D,0,1+MATCH($B$8,'CSE'!$E$9:$BF$9,0)),0),""
)))))))</f>
        <v>0</v>
      </c>
    </row>
    <row r="70" spans="6:8">
      <c r="F70" s="19" cm="1">
        <f t="array" ref="F70">IF($A70="","",
IF(AND($A70="INSUMO",$A$8="SEM DESONERAÇÃO"),_xlfn.LET(_xlpm.linha_insumo,MATCH($B70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_xlpm.preco_regional_as,INDEX($M:$M,MATCH($B70&amp;"_"&amp;$B$8,$K:$K,0)),
IF(ISERROR(_xlpm.linha_insumo),0,IF(_xlpm.preco_uf&lt;&gt;0,_xlpm.preco_uf,IF(ISNUMBER(_xlpm.preco_regional_as),_xlpm.preco_regional_as,_xlpm.preco_sp)))),
IF(AND($A70="INSUMO",$A$8="COM DESONERAÇÃO"),_xlfn.LET(_xlpm.linha_insumo,MATCH($B70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_xlpm.preco_regional_as,INDEX($N:$N,MATCH($B70&amp;"_"&amp;$B$8,$K:$K,0)),
IF(ISERROR(_xlpm.linha_insumo),0,IF(_xlpm.preco_uf&lt;&gt;0,_xlpm.preco_uf,IF(ISNUMBER(_xlpm.preco_regional_as),_xlpm.preco_regional_as,_xlpm.preco_sp)))),
IF(AND($A70="INSUMO",$A$8="SEM ENCARGOS SOCIAIS"),_xlfn.LET(_xlpm.linha_insumo,MATCH($B70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_xlpm.preco_regional_as,INDEX($L:$L,MATCH($B70&amp;"_"&amp;$B$8,$K:$K,0)),
IF(ISERROR(_xlpm.linha_insumo),0,IF(_xlpm.preco_uf&lt;&gt;0,_xlpm.preco_uf,IF(ISNUMBER(_xlpm.preco_regional_as),_xlpm.preco_regional_as,_xlpm.preco_sp)))),
IF(AND($A70="COMPOSICAO",$A$8="SEM DESONERAÇÃO"),_xlfn.XLOOKUP($B70,'CSD'!B:B,OFFSET('CSD'!$D:$D,0,MATCH($B$8,'CSD'!$E$4:$BF$4,0)),0),
IF(AND($A70="COMPOSICAO",$A$8="COM DESONERAÇÃO"),_xlfn.XLOOKUP($B70,'CCD'!B:B,OFFSET('CCD'!$D:$D,0,MATCH($B$8,'CCD'!$E$4:$BF$4,0)),0),
IF(AND($A70="COMPOSICAO",$A$8="SEM ENCARGOS SOCIAIS"),_xlfn.XLOOKUP($B70,'CSE'!B:B,OFFSET('CSE'!$D:$D,0,MATCH($B$8,'CSE'!$E$9:$BF$9,0)),0),""
)))))))</f>
        <v>0</v>
      </c>
      <c r="G70" s="19">
        <f>IF($A70="","",TRUNC(E70*F70,2))</f>
        <v>0</v>
      </c>
      <c r="H70" s="20" cm="1">
        <f t="array" ref="H70">IF($A70="","",
IF(AND($A70="INSUMO",$A$8="SEM DESONERAÇÃO"),_xlfn.LET(_xlpm.linha_insumo,MATCH($B70,'ISD'!$B:$B,0),_xlpm.coluna_uf,MATCH($B$8,'ISD'!$F$4:$AF$4,0),_xlpm.preco_uf,INDEX('ISD'!$F:$AF,_xlpm.linha_insumo,_xlpm.coluna_uf),IF(ISERROR(_xlpm.linha_insumo),"",IF(_xlpm.preco_uf&lt;&gt;0,0%,100%))),
IF(AND($A70="INSUMO",$A$8="COM DESONERAÇÃO"),_xlfn.LET(_xlpm.linha_insumo,MATCH($B70,'ICD'!$B:$B,0),_xlpm.coluna_uf,MATCH($B$8,'ICD'!$F$4:$AF$4,0),_xlpm.preco_uf,INDEX('ICD'!$F:$AF,_xlpm.linha_insumo,_xlpm.coluna_uf),IF(ISERROR(_xlpm.linha_insumo),"",IF(_xlpm.preco_uf&lt;&gt;0,0%,100%))),
IF(AND($A70="INSUMO",$A$8="SEM ENCARGOS SOCIAIS"),_xlfn.LET(_xlpm.linha_insumo,MATCH($B70,'ISE'!$B:$B,0),_xlpm.coluna_uf,MATCH($B$8,'ISE'!$F$10:$AF$10,0),_xlpm.preco_uf,INDEX('ISE'!$F:$AF,_xlpm.linha_insumo,_xlpm.coluna_uf),IF(ISERROR(_xlpm.linha_insumo),"",IF(_xlpm.preco_uf&lt;&gt;0,0%,100%))),
IF(AND($A70="COMPOSICAO",$A$8="SEM DESONERAÇÃO"),_xlfn.XLOOKUP($B70,'CSD'!B:B,OFFSET('CSD'!$D:$D,0,1+MATCH($B$8,'CSD'!$E$4:$BF$4,0)),0),
IF(AND($A70="COMPOSICAO",$A$8="COM DESONERAÇÃO"),_xlfn.XLOOKUP($B70,'CCD'!B:B,OFFSET('CCD'!$D:$D,0,1+MATCH($B$8,'CCD'!$E$4:$BF$4,0)),0),
IF(AND($A70="COMPOSICAO",$A$8="SEM ENCARGOS SOCIAIS"),_xlfn.XLOOKUP($B70,'CSE'!B:B,OFFSET('CSE'!$D:$D,0,1+MATCH($B$8,'CSE'!$E$9:$BF$9,0)),0),""
)))))))</f>
        <v>0</v>
      </c>
    </row>
    <row r="71" spans="6:8">
      <c r="F71" s="19" cm="1">
        <f t="array" ref="F71">IF($A71="","",
IF(AND($A71="INSUMO",$A$8="SEM DESONERAÇÃO"),_xlfn.LET(_xlpm.linha_insumo,MATCH($B71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_xlpm.preco_regional_as,INDEX($M:$M,MATCH($B71&amp;"_"&amp;$B$8,$K:$K,0)),
IF(ISERROR(_xlpm.linha_insumo),0,IF(_xlpm.preco_uf&lt;&gt;0,_xlpm.preco_uf,IF(ISNUMBER(_xlpm.preco_regional_as),_xlpm.preco_regional_as,_xlpm.preco_sp)))),
IF(AND($A71="INSUMO",$A$8="COM DESONERAÇÃO"),_xlfn.LET(_xlpm.linha_insumo,MATCH($B71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_xlpm.preco_regional_as,INDEX($N:$N,MATCH($B71&amp;"_"&amp;$B$8,$K:$K,0)),
IF(ISERROR(_xlpm.linha_insumo),0,IF(_xlpm.preco_uf&lt;&gt;0,_xlpm.preco_uf,IF(ISNUMBER(_xlpm.preco_regional_as),_xlpm.preco_regional_as,_xlpm.preco_sp)))),
IF(AND($A71="INSUMO",$A$8="SEM ENCARGOS SOCIAIS"),_xlfn.LET(_xlpm.linha_insumo,MATCH($B71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_xlpm.preco_regional_as,INDEX($L:$L,MATCH($B71&amp;"_"&amp;$B$8,$K:$K,0)),
IF(ISERROR(_xlpm.linha_insumo),0,IF(_xlpm.preco_uf&lt;&gt;0,_xlpm.preco_uf,IF(ISNUMBER(_xlpm.preco_regional_as),_xlpm.preco_regional_as,_xlpm.preco_sp)))),
IF(AND($A71="COMPOSICAO",$A$8="SEM DESONERAÇÃO"),_xlfn.XLOOKUP($B71,'CSD'!B:B,OFFSET('CSD'!$D:$D,0,MATCH($B$8,'CSD'!$E$4:$BF$4,0)),0),
IF(AND($A71="COMPOSICAO",$A$8="COM DESONERAÇÃO"),_xlfn.XLOOKUP($B71,'CCD'!B:B,OFFSET('CCD'!$D:$D,0,MATCH($B$8,'CCD'!$E$4:$BF$4,0)),0),
IF(AND($A71="COMPOSICAO",$A$8="SEM ENCARGOS SOCIAIS"),_xlfn.XLOOKUP($B71,'CSE'!B:B,OFFSET('CSE'!$D:$D,0,MATCH($B$8,'CSE'!$E$9:$BF$9,0)),0),""
)))))))</f>
        <v>0</v>
      </c>
      <c r="G71" s="19">
        <f>IF($A71="","",TRUNC(E71*F71,2))</f>
        <v>0</v>
      </c>
      <c r="H71" s="20" cm="1">
        <f t="array" ref="H71">IF($A71="","",
IF(AND($A71="INSUMO",$A$8="SEM DESONERAÇÃO"),_xlfn.LET(_xlpm.linha_insumo,MATCH($B71,'ISD'!$B:$B,0),_xlpm.coluna_uf,MATCH($B$8,'ISD'!$F$4:$AF$4,0),_xlpm.preco_uf,INDEX('ISD'!$F:$AF,_xlpm.linha_insumo,_xlpm.coluna_uf),IF(ISERROR(_xlpm.linha_insumo),"",IF(_xlpm.preco_uf&lt;&gt;0,0%,100%))),
IF(AND($A71="INSUMO",$A$8="COM DESONERAÇÃO"),_xlfn.LET(_xlpm.linha_insumo,MATCH($B71,'ICD'!$B:$B,0),_xlpm.coluna_uf,MATCH($B$8,'ICD'!$F$4:$AF$4,0),_xlpm.preco_uf,INDEX('ICD'!$F:$AF,_xlpm.linha_insumo,_xlpm.coluna_uf),IF(ISERROR(_xlpm.linha_insumo),"",IF(_xlpm.preco_uf&lt;&gt;0,0%,100%))),
IF(AND($A71="INSUMO",$A$8="SEM ENCARGOS SOCIAIS"),_xlfn.LET(_xlpm.linha_insumo,MATCH($B71,'ISE'!$B:$B,0),_xlpm.coluna_uf,MATCH($B$8,'ISE'!$F$10:$AF$10,0),_xlpm.preco_uf,INDEX('ISE'!$F:$AF,_xlpm.linha_insumo,_xlpm.coluna_uf),IF(ISERROR(_xlpm.linha_insumo),"",IF(_xlpm.preco_uf&lt;&gt;0,0%,100%))),
IF(AND($A71="COMPOSICAO",$A$8="SEM DESONERAÇÃO"),_xlfn.XLOOKUP($B71,'CSD'!B:B,OFFSET('CSD'!$D:$D,0,1+MATCH($B$8,'CSD'!$E$4:$BF$4,0)),0),
IF(AND($A71="COMPOSICAO",$A$8="COM DESONERAÇÃO"),_xlfn.XLOOKUP($B71,'CCD'!B:B,OFFSET('CCD'!$D:$D,0,1+MATCH($B$8,'CCD'!$E$4:$BF$4,0)),0),
IF(AND($A71="COMPOSICAO",$A$8="SEM ENCARGOS SOCIAIS"),_xlfn.XLOOKUP($B71,'CSE'!B:B,OFFSET('CSE'!$D:$D,0,1+MATCH($B$8,'CSE'!$E$9:$BF$9,0)),0),""
)))))))</f>
        <v>0</v>
      </c>
    </row>
    <row r="72" spans="6:8">
      <c r="F72" s="19" cm="1">
        <f t="array" ref="F72">IF($A72="","",
IF(AND($A72="INSUMO",$A$8="SEM DESONERAÇÃO"),_xlfn.LET(_xlpm.linha_insumo,MATCH($B72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_xlpm.preco_regional_as,INDEX($M:$M,MATCH($B72&amp;"_"&amp;$B$8,$K:$K,0)),
IF(ISERROR(_xlpm.linha_insumo),0,IF(_xlpm.preco_uf&lt;&gt;0,_xlpm.preco_uf,IF(ISNUMBER(_xlpm.preco_regional_as),_xlpm.preco_regional_as,_xlpm.preco_sp)))),
IF(AND($A72="INSUMO",$A$8="COM DESONERAÇÃO"),_xlfn.LET(_xlpm.linha_insumo,MATCH($B72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_xlpm.preco_regional_as,INDEX($N:$N,MATCH($B72&amp;"_"&amp;$B$8,$K:$K,0)),
IF(ISERROR(_xlpm.linha_insumo),0,IF(_xlpm.preco_uf&lt;&gt;0,_xlpm.preco_uf,IF(ISNUMBER(_xlpm.preco_regional_as),_xlpm.preco_regional_as,_xlpm.preco_sp)))),
IF(AND($A72="INSUMO",$A$8="SEM ENCARGOS SOCIAIS"),_xlfn.LET(_xlpm.linha_insumo,MATCH($B72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_xlpm.preco_regional_as,INDEX($L:$L,MATCH($B72&amp;"_"&amp;$B$8,$K:$K,0)),
IF(ISERROR(_xlpm.linha_insumo),0,IF(_xlpm.preco_uf&lt;&gt;0,_xlpm.preco_uf,IF(ISNUMBER(_xlpm.preco_regional_as),_xlpm.preco_regional_as,_xlpm.preco_sp)))),
IF(AND($A72="COMPOSICAO",$A$8="SEM DESONERAÇÃO"),_xlfn.XLOOKUP($B72,'CSD'!B:B,OFFSET('CSD'!$D:$D,0,MATCH($B$8,'CSD'!$E$4:$BF$4,0)),0),
IF(AND($A72="COMPOSICAO",$A$8="COM DESONERAÇÃO"),_xlfn.XLOOKUP($B72,'CCD'!B:B,OFFSET('CCD'!$D:$D,0,MATCH($B$8,'CCD'!$E$4:$BF$4,0)),0),
IF(AND($A72="COMPOSICAO",$A$8="SEM ENCARGOS SOCIAIS"),_xlfn.XLOOKUP($B72,'CSE'!B:B,OFFSET('CSE'!$D:$D,0,MATCH($B$8,'CSE'!$E$9:$BF$9,0)),0),""
)))))))</f>
        <v>0</v>
      </c>
      <c r="G72" s="19">
        <f>IF($A72="","",TRUNC(E72*F72,2))</f>
        <v>0</v>
      </c>
      <c r="H72" s="20" cm="1">
        <f t="array" ref="H72">IF($A72="","",
IF(AND($A72="INSUMO",$A$8="SEM DESONERAÇÃO"),_xlfn.LET(_xlpm.linha_insumo,MATCH($B72,'ISD'!$B:$B,0),_xlpm.coluna_uf,MATCH($B$8,'ISD'!$F$4:$AF$4,0),_xlpm.preco_uf,INDEX('ISD'!$F:$AF,_xlpm.linha_insumo,_xlpm.coluna_uf),IF(ISERROR(_xlpm.linha_insumo),"",IF(_xlpm.preco_uf&lt;&gt;0,0%,100%))),
IF(AND($A72="INSUMO",$A$8="COM DESONERAÇÃO"),_xlfn.LET(_xlpm.linha_insumo,MATCH($B72,'ICD'!$B:$B,0),_xlpm.coluna_uf,MATCH($B$8,'ICD'!$F$4:$AF$4,0),_xlpm.preco_uf,INDEX('ICD'!$F:$AF,_xlpm.linha_insumo,_xlpm.coluna_uf),IF(ISERROR(_xlpm.linha_insumo),"",IF(_xlpm.preco_uf&lt;&gt;0,0%,100%))),
IF(AND($A72="INSUMO",$A$8="SEM ENCARGOS SOCIAIS"),_xlfn.LET(_xlpm.linha_insumo,MATCH($B72,'ISE'!$B:$B,0),_xlpm.coluna_uf,MATCH($B$8,'ISE'!$F$10:$AF$10,0),_xlpm.preco_uf,INDEX('ISE'!$F:$AF,_xlpm.linha_insumo,_xlpm.coluna_uf),IF(ISERROR(_xlpm.linha_insumo),"",IF(_xlpm.preco_uf&lt;&gt;0,0%,100%))),
IF(AND($A72="COMPOSICAO",$A$8="SEM DESONERAÇÃO"),_xlfn.XLOOKUP($B72,'CSD'!B:B,OFFSET('CSD'!$D:$D,0,1+MATCH($B$8,'CSD'!$E$4:$BF$4,0)),0),
IF(AND($A72="COMPOSICAO",$A$8="COM DESONERAÇÃO"),_xlfn.XLOOKUP($B72,'CCD'!B:B,OFFSET('CCD'!$D:$D,0,1+MATCH($B$8,'CCD'!$E$4:$BF$4,0)),0),
IF(AND($A72="COMPOSICAO",$A$8="SEM ENCARGOS SOCIAIS"),_xlfn.XLOOKUP($B72,'CSE'!B:B,OFFSET('CSE'!$D:$D,0,1+MATCH($B$8,'CSE'!$E$9:$BF$9,0)),0),""
)))))))</f>
        <v>0</v>
      </c>
    </row>
    <row r="73" spans="6:8">
      <c r="F73" s="19" cm="1">
        <f t="array" ref="F73">IF($A73="","",
IF(AND($A73="INSUMO",$A$8="SEM DESONERAÇÃO"),_xlfn.LET(_xlpm.linha_insumo,MATCH($B73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_xlpm.preco_regional_as,INDEX($M:$M,MATCH($B73&amp;"_"&amp;$B$8,$K:$K,0)),
IF(ISERROR(_xlpm.linha_insumo),0,IF(_xlpm.preco_uf&lt;&gt;0,_xlpm.preco_uf,IF(ISNUMBER(_xlpm.preco_regional_as),_xlpm.preco_regional_as,_xlpm.preco_sp)))),
IF(AND($A73="INSUMO",$A$8="COM DESONERAÇÃO"),_xlfn.LET(_xlpm.linha_insumo,MATCH($B73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_xlpm.preco_regional_as,INDEX($N:$N,MATCH($B73&amp;"_"&amp;$B$8,$K:$K,0)),
IF(ISERROR(_xlpm.linha_insumo),0,IF(_xlpm.preco_uf&lt;&gt;0,_xlpm.preco_uf,IF(ISNUMBER(_xlpm.preco_regional_as),_xlpm.preco_regional_as,_xlpm.preco_sp)))),
IF(AND($A73="INSUMO",$A$8="SEM ENCARGOS SOCIAIS"),_xlfn.LET(_xlpm.linha_insumo,MATCH($B73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_xlpm.preco_regional_as,INDEX($L:$L,MATCH($B73&amp;"_"&amp;$B$8,$K:$K,0)),
IF(ISERROR(_xlpm.linha_insumo),0,IF(_xlpm.preco_uf&lt;&gt;0,_xlpm.preco_uf,IF(ISNUMBER(_xlpm.preco_regional_as),_xlpm.preco_regional_as,_xlpm.preco_sp)))),
IF(AND($A73="COMPOSICAO",$A$8="SEM DESONERAÇÃO"),_xlfn.XLOOKUP($B73,'CSD'!B:B,OFFSET('CSD'!$D:$D,0,MATCH($B$8,'CSD'!$E$4:$BF$4,0)),0),
IF(AND($A73="COMPOSICAO",$A$8="COM DESONERAÇÃO"),_xlfn.XLOOKUP($B73,'CCD'!B:B,OFFSET('CCD'!$D:$D,0,MATCH($B$8,'CCD'!$E$4:$BF$4,0)),0),
IF(AND($A73="COMPOSICAO",$A$8="SEM ENCARGOS SOCIAIS"),_xlfn.XLOOKUP($B73,'CSE'!B:B,OFFSET('CSE'!$D:$D,0,MATCH($B$8,'CSE'!$E$9:$BF$9,0)),0),""
)))))))</f>
        <v>0</v>
      </c>
      <c r="G73" s="19">
        <f>IF($A73="","",TRUNC(E73*F73,2))</f>
        <v>0</v>
      </c>
      <c r="H73" s="20" cm="1">
        <f t="array" ref="H73">IF($A73="","",
IF(AND($A73="INSUMO",$A$8="SEM DESONERAÇÃO"),_xlfn.LET(_xlpm.linha_insumo,MATCH($B73,'ISD'!$B:$B,0),_xlpm.coluna_uf,MATCH($B$8,'ISD'!$F$4:$AF$4,0),_xlpm.preco_uf,INDEX('ISD'!$F:$AF,_xlpm.linha_insumo,_xlpm.coluna_uf),IF(ISERROR(_xlpm.linha_insumo),"",IF(_xlpm.preco_uf&lt;&gt;0,0%,100%))),
IF(AND($A73="INSUMO",$A$8="COM DESONERAÇÃO"),_xlfn.LET(_xlpm.linha_insumo,MATCH($B73,'ICD'!$B:$B,0),_xlpm.coluna_uf,MATCH($B$8,'ICD'!$F$4:$AF$4,0),_xlpm.preco_uf,INDEX('ICD'!$F:$AF,_xlpm.linha_insumo,_xlpm.coluna_uf),IF(ISERROR(_xlpm.linha_insumo),"",IF(_xlpm.preco_uf&lt;&gt;0,0%,100%))),
IF(AND($A73="INSUMO",$A$8="SEM ENCARGOS SOCIAIS"),_xlfn.LET(_xlpm.linha_insumo,MATCH($B73,'ISE'!$B:$B,0),_xlpm.coluna_uf,MATCH($B$8,'ISE'!$F$10:$AF$10,0),_xlpm.preco_uf,INDEX('ISE'!$F:$AF,_xlpm.linha_insumo,_xlpm.coluna_uf),IF(ISERROR(_xlpm.linha_insumo),"",IF(_xlpm.preco_uf&lt;&gt;0,0%,100%))),
IF(AND($A73="COMPOSICAO",$A$8="SEM DESONERAÇÃO"),_xlfn.XLOOKUP($B73,'CSD'!B:B,OFFSET('CSD'!$D:$D,0,1+MATCH($B$8,'CSD'!$E$4:$BF$4,0)),0),
IF(AND($A73="COMPOSICAO",$A$8="COM DESONERAÇÃO"),_xlfn.XLOOKUP($B73,'CCD'!B:B,OFFSET('CCD'!$D:$D,0,1+MATCH($B$8,'CCD'!$E$4:$BF$4,0)),0),
IF(AND($A73="COMPOSICAO",$A$8="SEM ENCARGOS SOCIAIS"),_xlfn.XLOOKUP($B73,'CSE'!B:B,OFFSET('CSE'!$D:$D,0,1+MATCH($B$8,'CSE'!$E$9:$BF$9,0)),0),""
)))))))</f>
        <v>0</v>
      </c>
    </row>
    <row r="74" spans="6:8">
      <c r="F74" s="19" cm="1">
        <f t="array" ref="F74">IF($A74="","",
IF(AND($A74="INSUMO",$A$8="SEM DESONERAÇÃO"),_xlfn.LET(_xlpm.linha_insumo,MATCH($B74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_xlpm.preco_regional_as,INDEX($M:$M,MATCH($B74&amp;"_"&amp;$B$8,$K:$K,0)),
IF(ISERROR(_xlpm.linha_insumo),0,IF(_xlpm.preco_uf&lt;&gt;0,_xlpm.preco_uf,IF(ISNUMBER(_xlpm.preco_regional_as),_xlpm.preco_regional_as,_xlpm.preco_sp)))),
IF(AND($A74="INSUMO",$A$8="COM DESONERAÇÃO"),_xlfn.LET(_xlpm.linha_insumo,MATCH($B74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_xlpm.preco_regional_as,INDEX($N:$N,MATCH($B74&amp;"_"&amp;$B$8,$K:$K,0)),
IF(ISERROR(_xlpm.linha_insumo),0,IF(_xlpm.preco_uf&lt;&gt;0,_xlpm.preco_uf,IF(ISNUMBER(_xlpm.preco_regional_as),_xlpm.preco_regional_as,_xlpm.preco_sp)))),
IF(AND($A74="INSUMO",$A$8="SEM ENCARGOS SOCIAIS"),_xlfn.LET(_xlpm.linha_insumo,MATCH($B74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_xlpm.preco_regional_as,INDEX($L:$L,MATCH($B74&amp;"_"&amp;$B$8,$K:$K,0)),
IF(ISERROR(_xlpm.linha_insumo),0,IF(_xlpm.preco_uf&lt;&gt;0,_xlpm.preco_uf,IF(ISNUMBER(_xlpm.preco_regional_as),_xlpm.preco_regional_as,_xlpm.preco_sp)))),
IF(AND($A74="COMPOSICAO",$A$8="SEM DESONERAÇÃO"),_xlfn.XLOOKUP($B74,'CSD'!B:B,OFFSET('CSD'!$D:$D,0,MATCH($B$8,'CSD'!$E$4:$BF$4,0)),0),
IF(AND($A74="COMPOSICAO",$A$8="COM DESONERAÇÃO"),_xlfn.XLOOKUP($B74,'CCD'!B:B,OFFSET('CCD'!$D:$D,0,MATCH($B$8,'CCD'!$E$4:$BF$4,0)),0),
IF(AND($A74="COMPOSICAO",$A$8="SEM ENCARGOS SOCIAIS"),_xlfn.XLOOKUP($B74,'CSE'!B:B,OFFSET('CSE'!$D:$D,0,MATCH($B$8,'CSE'!$E$9:$BF$9,0)),0),""
)))))))</f>
        <v>0</v>
      </c>
      <c r="G74" s="19">
        <f>IF($A74="","",TRUNC(E74*F74,2))</f>
        <v>0</v>
      </c>
      <c r="H74" s="20" cm="1">
        <f t="array" ref="H74">IF($A74="","",
IF(AND($A74="INSUMO",$A$8="SEM DESONERAÇÃO"),_xlfn.LET(_xlpm.linha_insumo,MATCH($B74,'ISD'!$B:$B,0),_xlpm.coluna_uf,MATCH($B$8,'ISD'!$F$4:$AF$4,0),_xlpm.preco_uf,INDEX('ISD'!$F:$AF,_xlpm.linha_insumo,_xlpm.coluna_uf),IF(ISERROR(_xlpm.linha_insumo),"",IF(_xlpm.preco_uf&lt;&gt;0,0%,100%))),
IF(AND($A74="INSUMO",$A$8="COM DESONERAÇÃO"),_xlfn.LET(_xlpm.linha_insumo,MATCH($B74,'ICD'!$B:$B,0),_xlpm.coluna_uf,MATCH($B$8,'ICD'!$F$4:$AF$4,0),_xlpm.preco_uf,INDEX('ICD'!$F:$AF,_xlpm.linha_insumo,_xlpm.coluna_uf),IF(ISERROR(_xlpm.linha_insumo),"",IF(_xlpm.preco_uf&lt;&gt;0,0%,100%))),
IF(AND($A74="INSUMO",$A$8="SEM ENCARGOS SOCIAIS"),_xlfn.LET(_xlpm.linha_insumo,MATCH($B74,'ISE'!$B:$B,0),_xlpm.coluna_uf,MATCH($B$8,'ISE'!$F$10:$AF$10,0),_xlpm.preco_uf,INDEX('ISE'!$F:$AF,_xlpm.linha_insumo,_xlpm.coluna_uf),IF(ISERROR(_xlpm.linha_insumo),"",IF(_xlpm.preco_uf&lt;&gt;0,0%,100%))),
IF(AND($A74="COMPOSICAO",$A$8="SEM DESONERAÇÃO"),_xlfn.XLOOKUP($B74,'CSD'!B:B,OFFSET('CSD'!$D:$D,0,1+MATCH($B$8,'CSD'!$E$4:$BF$4,0)),0),
IF(AND($A74="COMPOSICAO",$A$8="COM DESONERAÇÃO"),_xlfn.XLOOKUP($B74,'CCD'!B:B,OFFSET('CCD'!$D:$D,0,1+MATCH($B$8,'CCD'!$E$4:$BF$4,0)),0),
IF(AND($A74="COMPOSICAO",$A$8="SEM ENCARGOS SOCIAIS"),_xlfn.XLOOKUP($B74,'CSE'!B:B,OFFSET('CSE'!$D:$D,0,1+MATCH($B$8,'CSE'!$E$9:$BF$9,0)),0),""
)))))))</f>
        <v>0</v>
      </c>
    </row>
    <row r="75" spans="6:8">
      <c r="F75" s="19" cm="1">
        <f t="array" ref="F75">IF($A75="","",
IF(AND($A75="INSUMO",$A$8="SEM DESONERAÇÃO"),_xlfn.LET(_xlpm.linha_insumo,MATCH($B75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_xlpm.preco_regional_as,INDEX($M:$M,MATCH($B75&amp;"_"&amp;$B$8,$K:$K,0)),
IF(ISERROR(_xlpm.linha_insumo),0,IF(_xlpm.preco_uf&lt;&gt;0,_xlpm.preco_uf,IF(ISNUMBER(_xlpm.preco_regional_as),_xlpm.preco_regional_as,_xlpm.preco_sp)))),
IF(AND($A75="INSUMO",$A$8="COM DESONERAÇÃO"),_xlfn.LET(_xlpm.linha_insumo,MATCH($B75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_xlpm.preco_regional_as,INDEX($N:$N,MATCH($B75&amp;"_"&amp;$B$8,$K:$K,0)),
IF(ISERROR(_xlpm.linha_insumo),0,IF(_xlpm.preco_uf&lt;&gt;0,_xlpm.preco_uf,IF(ISNUMBER(_xlpm.preco_regional_as),_xlpm.preco_regional_as,_xlpm.preco_sp)))),
IF(AND($A75="INSUMO",$A$8="SEM ENCARGOS SOCIAIS"),_xlfn.LET(_xlpm.linha_insumo,MATCH($B75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_xlpm.preco_regional_as,INDEX($L:$L,MATCH($B75&amp;"_"&amp;$B$8,$K:$K,0)),
IF(ISERROR(_xlpm.linha_insumo),0,IF(_xlpm.preco_uf&lt;&gt;0,_xlpm.preco_uf,IF(ISNUMBER(_xlpm.preco_regional_as),_xlpm.preco_regional_as,_xlpm.preco_sp)))),
IF(AND($A75="COMPOSICAO",$A$8="SEM DESONERAÇÃO"),_xlfn.XLOOKUP($B75,'CSD'!B:B,OFFSET('CSD'!$D:$D,0,MATCH($B$8,'CSD'!$E$4:$BF$4,0)),0),
IF(AND($A75="COMPOSICAO",$A$8="COM DESONERAÇÃO"),_xlfn.XLOOKUP($B75,'CCD'!B:B,OFFSET('CCD'!$D:$D,0,MATCH($B$8,'CCD'!$E$4:$BF$4,0)),0),
IF(AND($A75="COMPOSICAO",$A$8="SEM ENCARGOS SOCIAIS"),_xlfn.XLOOKUP($B75,'CSE'!B:B,OFFSET('CSE'!$D:$D,0,MATCH($B$8,'CSE'!$E$9:$BF$9,0)),0),""
)))))))</f>
        <v>0</v>
      </c>
      <c r="G75" s="19">
        <f>IF($A75="","",TRUNC(E75*F75,2))</f>
        <v>0</v>
      </c>
      <c r="H75" s="20" cm="1">
        <f t="array" ref="H75">IF($A75="","",
IF(AND($A75="INSUMO",$A$8="SEM DESONERAÇÃO"),_xlfn.LET(_xlpm.linha_insumo,MATCH($B75,'ISD'!$B:$B,0),_xlpm.coluna_uf,MATCH($B$8,'ISD'!$F$4:$AF$4,0),_xlpm.preco_uf,INDEX('ISD'!$F:$AF,_xlpm.linha_insumo,_xlpm.coluna_uf),IF(ISERROR(_xlpm.linha_insumo),"",IF(_xlpm.preco_uf&lt;&gt;0,0%,100%))),
IF(AND($A75="INSUMO",$A$8="COM DESONERAÇÃO"),_xlfn.LET(_xlpm.linha_insumo,MATCH($B75,'ICD'!$B:$B,0),_xlpm.coluna_uf,MATCH($B$8,'ICD'!$F$4:$AF$4,0),_xlpm.preco_uf,INDEX('ICD'!$F:$AF,_xlpm.linha_insumo,_xlpm.coluna_uf),IF(ISERROR(_xlpm.linha_insumo),"",IF(_xlpm.preco_uf&lt;&gt;0,0%,100%))),
IF(AND($A75="INSUMO",$A$8="SEM ENCARGOS SOCIAIS"),_xlfn.LET(_xlpm.linha_insumo,MATCH($B75,'ISE'!$B:$B,0),_xlpm.coluna_uf,MATCH($B$8,'ISE'!$F$10:$AF$10,0),_xlpm.preco_uf,INDEX('ISE'!$F:$AF,_xlpm.linha_insumo,_xlpm.coluna_uf),IF(ISERROR(_xlpm.linha_insumo),"",IF(_xlpm.preco_uf&lt;&gt;0,0%,100%))),
IF(AND($A75="COMPOSICAO",$A$8="SEM DESONERAÇÃO"),_xlfn.XLOOKUP($B75,'CSD'!B:B,OFFSET('CSD'!$D:$D,0,1+MATCH($B$8,'CSD'!$E$4:$BF$4,0)),0),
IF(AND($A75="COMPOSICAO",$A$8="COM DESONERAÇÃO"),_xlfn.XLOOKUP($B75,'CCD'!B:B,OFFSET('CCD'!$D:$D,0,1+MATCH($B$8,'CCD'!$E$4:$BF$4,0)),0),
IF(AND($A75="COMPOSICAO",$A$8="SEM ENCARGOS SOCIAIS"),_xlfn.XLOOKUP($B75,'CSE'!B:B,OFFSET('CSE'!$D:$D,0,1+MATCH($B$8,'CSE'!$E$9:$BF$9,0)),0),""
)))))))</f>
        <v>0</v>
      </c>
    </row>
    <row r="76" spans="6:8">
      <c r="F76" s="19" cm="1">
        <f t="array" ref="F76">IF($A76="","",
IF(AND($A76="INSUMO",$A$8="SEM DESONERAÇÃO"),_xlfn.LET(_xlpm.linha_insumo,MATCH($B76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_xlpm.preco_regional_as,INDEX($M:$M,MATCH($B76&amp;"_"&amp;$B$8,$K:$K,0)),
IF(ISERROR(_xlpm.linha_insumo),0,IF(_xlpm.preco_uf&lt;&gt;0,_xlpm.preco_uf,IF(ISNUMBER(_xlpm.preco_regional_as),_xlpm.preco_regional_as,_xlpm.preco_sp)))),
IF(AND($A76="INSUMO",$A$8="COM DESONERAÇÃO"),_xlfn.LET(_xlpm.linha_insumo,MATCH($B76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_xlpm.preco_regional_as,INDEX($N:$N,MATCH($B76&amp;"_"&amp;$B$8,$K:$K,0)),
IF(ISERROR(_xlpm.linha_insumo),0,IF(_xlpm.preco_uf&lt;&gt;0,_xlpm.preco_uf,IF(ISNUMBER(_xlpm.preco_regional_as),_xlpm.preco_regional_as,_xlpm.preco_sp)))),
IF(AND($A76="INSUMO",$A$8="SEM ENCARGOS SOCIAIS"),_xlfn.LET(_xlpm.linha_insumo,MATCH($B76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_xlpm.preco_regional_as,INDEX($L:$L,MATCH($B76&amp;"_"&amp;$B$8,$K:$K,0)),
IF(ISERROR(_xlpm.linha_insumo),0,IF(_xlpm.preco_uf&lt;&gt;0,_xlpm.preco_uf,IF(ISNUMBER(_xlpm.preco_regional_as),_xlpm.preco_regional_as,_xlpm.preco_sp)))),
IF(AND($A76="COMPOSICAO",$A$8="SEM DESONERAÇÃO"),_xlfn.XLOOKUP($B76,'CSD'!B:B,OFFSET('CSD'!$D:$D,0,MATCH($B$8,'CSD'!$E$4:$BF$4,0)),0),
IF(AND($A76="COMPOSICAO",$A$8="COM DESONERAÇÃO"),_xlfn.XLOOKUP($B76,'CCD'!B:B,OFFSET('CCD'!$D:$D,0,MATCH($B$8,'CCD'!$E$4:$BF$4,0)),0),
IF(AND($A76="COMPOSICAO",$A$8="SEM ENCARGOS SOCIAIS"),_xlfn.XLOOKUP($B76,'CSE'!B:B,OFFSET('CSE'!$D:$D,0,MATCH($B$8,'CSE'!$E$9:$BF$9,0)),0),""
)))))))</f>
        <v>0</v>
      </c>
      <c r="G76" s="19">
        <f>IF($A76="","",TRUNC(E76*F76,2))</f>
        <v>0</v>
      </c>
      <c r="H76" s="20" cm="1">
        <f t="array" ref="H76">IF($A76="","",
IF(AND($A76="INSUMO",$A$8="SEM DESONERAÇÃO"),_xlfn.LET(_xlpm.linha_insumo,MATCH($B76,'ISD'!$B:$B,0),_xlpm.coluna_uf,MATCH($B$8,'ISD'!$F$4:$AF$4,0),_xlpm.preco_uf,INDEX('ISD'!$F:$AF,_xlpm.linha_insumo,_xlpm.coluna_uf),IF(ISERROR(_xlpm.linha_insumo),"",IF(_xlpm.preco_uf&lt;&gt;0,0%,100%))),
IF(AND($A76="INSUMO",$A$8="COM DESONERAÇÃO"),_xlfn.LET(_xlpm.linha_insumo,MATCH($B76,'ICD'!$B:$B,0),_xlpm.coluna_uf,MATCH($B$8,'ICD'!$F$4:$AF$4,0),_xlpm.preco_uf,INDEX('ICD'!$F:$AF,_xlpm.linha_insumo,_xlpm.coluna_uf),IF(ISERROR(_xlpm.linha_insumo),"",IF(_xlpm.preco_uf&lt;&gt;0,0%,100%))),
IF(AND($A76="INSUMO",$A$8="SEM ENCARGOS SOCIAIS"),_xlfn.LET(_xlpm.linha_insumo,MATCH($B76,'ISE'!$B:$B,0),_xlpm.coluna_uf,MATCH($B$8,'ISE'!$F$10:$AF$10,0),_xlpm.preco_uf,INDEX('ISE'!$F:$AF,_xlpm.linha_insumo,_xlpm.coluna_uf),IF(ISERROR(_xlpm.linha_insumo),"",IF(_xlpm.preco_uf&lt;&gt;0,0%,100%))),
IF(AND($A76="COMPOSICAO",$A$8="SEM DESONERAÇÃO"),_xlfn.XLOOKUP($B76,'CSD'!B:B,OFFSET('CSD'!$D:$D,0,1+MATCH($B$8,'CSD'!$E$4:$BF$4,0)),0),
IF(AND($A76="COMPOSICAO",$A$8="COM DESONERAÇÃO"),_xlfn.XLOOKUP($B76,'CCD'!B:B,OFFSET('CCD'!$D:$D,0,1+MATCH($B$8,'CCD'!$E$4:$BF$4,0)),0),
IF(AND($A76="COMPOSICAO",$A$8="SEM ENCARGOS SOCIAIS"),_xlfn.XLOOKUP($B76,'CSE'!B:B,OFFSET('CSE'!$D:$D,0,1+MATCH($B$8,'CSE'!$E$9:$BF$9,0)),0),""
)))))))</f>
        <v>0</v>
      </c>
    </row>
    <row r="77" spans="6:8">
      <c r="F77" s="19" cm="1">
        <f t="array" ref="F77">IF($A77="","",
IF(AND($A77="INSUMO",$A$8="SEM DESONERAÇÃO"),_xlfn.LET(_xlpm.linha_insumo,MATCH($B77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_xlpm.preco_regional_as,INDEX($M:$M,MATCH($B77&amp;"_"&amp;$B$8,$K:$K,0)),
IF(ISERROR(_xlpm.linha_insumo),0,IF(_xlpm.preco_uf&lt;&gt;0,_xlpm.preco_uf,IF(ISNUMBER(_xlpm.preco_regional_as),_xlpm.preco_regional_as,_xlpm.preco_sp)))),
IF(AND($A77="INSUMO",$A$8="COM DESONERAÇÃO"),_xlfn.LET(_xlpm.linha_insumo,MATCH($B77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_xlpm.preco_regional_as,INDEX($N:$N,MATCH($B77&amp;"_"&amp;$B$8,$K:$K,0)),
IF(ISERROR(_xlpm.linha_insumo),0,IF(_xlpm.preco_uf&lt;&gt;0,_xlpm.preco_uf,IF(ISNUMBER(_xlpm.preco_regional_as),_xlpm.preco_regional_as,_xlpm.preco_sp)))),
IF(AND($A77="INSUMO",$A$8="SEM ENCARGOS SOCIAIS"),_xlfn.LET(_xlpm.linha_insumo,MATCH($B77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_xlpm.preco_regional_as,INDEX($L:$L,MATCH($B77&amp;"_"&amp;$B$8,$K:$K,0)),
IF(ISERROR(_xlpm.linha_insumo),0,IF(_xlpm.preco_uf&lt;&gt;0,_xlpm.preco_uf,IF(ISNUMBER(_xlpm.preco_regional_as),_xlpm.preco_regional_as,_xlpm.preco_sp)))),
IF(AND($A77="COMPOSICAO",$A$8="SEM DESONERAÇÃO"),_xlfn.XLOOKUP($B77,'CSD'!B:B,OFFSET('CSD'!$D:$D,0,MATCH($B$8,'CSD'!$E$4:$BF$4,0)),0),
IF(AND($A77="COMPOSICAO",$A$8="COM DESONERAÇÃO"),_xlfn.XLOOKUP($B77,'CCD'!B:B,OFFSET('CCD'!$D:$D,0,MATCH($B$8,'CCD'!$E$4:$BF$4,0)),0),
IF(AND($A77="COMPOSICAO",$A$8="SEM ENCARGOS SOCIAIS"),_xlfn.XLOOKUP($B77,'CSE'!B:B,OFFSET('CSE'!$D:$D,0,MATCH($B$8,'CSE'!$E$9:$BF$9,0)),0),""
)))))))</f>
        <v>0</v>
      </c>
      <c r="G77" s="19">
        <f>IF($A77="","",TRUNC(E77*F77,2))</f>
        <v>0</v>
      </c>
      <c r="H77" s="20" cm="1">
        <f t="array" ref="H77">IF($A77="","",
IF(AND($A77="INSUMO",$A$8="SEM DESONERAÇÃO"),_xlfn.LET(_xlpm.linha_insumo,MATCH($B77,'ISD'!$B:$B,0),_xlpm.coluna_uf,MATCH($B$8,'ISD'!$F$4:$AF$4,0),_xlpm.preco_uf,INDEX('ISD'!$F:$AF,_xlpm.linha_insumo,_xlpm.coluna_uf),IF(ISERROR(_xlpm.linha_insumo),"",IF(_xlpm.preco_uf&lt;&gt;0,0%,100%))),
IF(AND($A77="INSUMO",$A$8="COM DESONERAÇÃO"),_xlfn.LET(_xlpm.linha_insumo,MATCH($B77,'ICD'!$B:$B,0),_xlpm.coluna_uf,MATCH($B$8,'ICD'!$F$4:$AF$4,0),_xlpm.preco_uf,INDEX('ICD'!$F:$AF,_xlpm.linha_insumo,_xlpm.coluna_uf),IF(ISERROR(_xlpm.linha_insumo),"",IF(_xlpm.preco_uf&lt;&gt;0,0%,100%))),
IF(AND($A77="INSUMO",$A$8="SEM ENCARGOS SOCIAIS"),_xlfn.LET(_xlpm.linha_insumo,MATCH($B77,'ISE'!$B:$B,0),_xlpm.coluna_uf,MATCH($B$8,'ISE'!$F$10:$AF$10,0),_xlpm.preco_uf,INDEX('ISE'!$F:$AF,_xlpm.linha_insumo,_xlpm.coluna_uf),IF(ISERROR(_xlpm.linha_insumo),"",IF(_xlpm.preco_uf&lt;&gt;0,0%,100%))),
IF(AND($A77="COMPOSICAO",$A$8="SEM DESONERAÇÃO"),_xlfn.XLOOKUP($B77,'CSD'!B:B,OFFSET('CSD'!$D:$D,0,1+MATCH($B$8,'CSD'!$E$4:$BF$4,0)),0),
IF(AND($A77="COMPOSICAO",$A$8="COM DESONERAÇÃO"),_xlfn.XLOOKUP($B77,'CCD'!B:B,OFFSET('CCD'!$D:$D,0,1+MATCH($B$8,'CCD'!$E$4:$BF$4,0)),0),
IF(AND($A77="COMPOSICAO",$A$8="SEM ENCARGOS SOCIAIS"),_xlfn.XLOOKUP($B77,'CSE'!B:B,OFFSET('CSE'!$D:$D,0,1+MATCH($B$8,'CSE'!$E$9:$BF$9,0)),0),""
)))))))</f>
        <v>0</v>
      </c>
    </row>
    <row r="78" spans="6:8">
      <c r="F78" s="19" cm="1">
        <f t="array" ref="F78">IF($A78="","",
IF(AND($A78="INSUMO",$A$8="SEM DESONERAÇÃO"),_xlfn.LET(_xlpm.linha_insumo,MATCH($B78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_xlpm.preco_regional_as,INDEX($M:$M,MATCH($B78&amp;"_"&amp;$B$8,$K:$K,0)),
IF(ISERROR(_xlpm.linha_insumo),0,IF(_xlpm.preco_uf&lt;&gt;0,_xlpm.preco_uf,IF(ISNUMBER(_xlpm.preco_regional_as),_xlpm.preco_regional_as,_xlpm.preco_sp)))),
IF(AND($A78="INSUMO",$A$8="COM DESONERAÇÃO"),_xlfn.LET(_xlpm.linha_insumo,MATCH($B78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_xlpm.preco_regional_as,INDEX($N:$N,MATCH($B78&amp;"_"&amp;$B$8,$K:$K,0)),
IF(ISERROR(_xlpm.linha_insumo),0,IF(_xlpm.preco_uf&lt;&gt;0,_xlpm.preco_uf,IF(ISNUMBER(_xlpm.preco_regional_as),_xlpm.preco_regional_as,_xlpm.preco_sp)))),
IF(AND($A78="INSUMO",$A$8="SEM ENCARGOS SOCIAIS"),_xlfn.LET(_xlpm.linha_insumo,MATCH($B78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_xlpm.preco_regional_as,INDEX($L:$L,MATCH($B78&amp;"_"&amp;$B$8,$K:$K,0)),
IF(ISERROR(_xlpm.linha_insumo),0,IF(_xlpm.preco_uf&lt;&gt;0,_xlpm.preco_uf,IF(ISNUMBER(_xlpm.preco_regional_as),_xlpm.preco_regional_as,_xlpm.preco_sp)))),
IF(AND($A78="COMPOSICAO",$A$8="SEM DESONERAÇÃO"),_xlfn.XLOOKUP($B78,'CSD'!B:B,OFFSET('CSD'!$D:$D,0,MATCH($B$8,'CSD'!$E$4:$BF$4,0)),0),
IF(AND($A78="COMPOSICAO",$A$8="COM DESONERAÇÃO"),_xlfn.XLOOKUP($B78,'CCD'!B:B,OFFSET('CCD'!$D:$D,0,MATCH($B$8,'CCD'!$E$4:$BF$4,0)),0),
IF(AND($A78="COMPOSICAO",$A$8="SEM ENCARGOS SOCIAIS"),_xlfn.XLOOKUP($B78,'CSE'!B:B,OFFSET('CSE'!$D:$D,0,MATCH($B$8,'CSE'!$E$9:$BF$9,0)),0),""
)))))))</f>
        <v>0</v>
      </c>
      <c r="G78" s="19">
        <f>IF($A78="","",TRUNC(E78*F78,2))</f>
        <v>0</v>
      </c>
      <c r="H78" s="20" cm="1">
        <f t="array" ref="H78">IF($A78="","",
IF(AND($A78="INSUMO",$A$8="SEM DESONERAÇÃO"),_xlfn.LET(_xlpm.linha_insumo,MATCH($B78,'ISD'!$B:$B,0),_xlpm.coluna_uf,MATCH($B$8,'ISD'!$F$4:$AF$4,0),_xlpm.preco_uf,INDEX('ISD'!$F:$AF,_xlpm.linha_insumo,_xlpm.coluna_uf),IF(ISERROR(_xlpm.linha_insumo),"",IF(_xlpm.preco_uf&lt;&gt;0,0%,100%))),
IF(AND($A78="INSUMO",$A$8="COM DESONERAÇÃO"),_xlfn.LET(_xlpm.linha_insumo,MATCH($B78,'ICD'!$B:$B,0),_xlpm.coluna_uf,MATCH($B$8,'ICD'!$F$4:$AF$4,0),_xlpm.preco_uf,INDEX('ICD'!$F:$AF,_xlpm.linha_insumo,_xlpm.coluna_uf),IF(ISERROR(_xlpm.linha_insumo),"",IF(_xlpm.preco_uf&lt;&gt;0,0%,100%))),
IF(AND($A78="INSUMO",$A$8="SEM ENCARGOS SOCIAIS"),_xlfn.LET(_xlpm.linha_insumo,MATCH($B78,'ISE'!$B:$B,0),_xlpm.coluna_uf,MATCH($B$8,'ISE'!$F$10:$AF$10,0),_xlpm.preco_uf,INDEX('ISE'!$F:$AF,_xlpm.linha_insumo,_xlpm.coluna_uf),IF(ISERROR(_xlpm.linha_insumo),"",IF(_xlpm.preco_uf&lt;&gt;0,0%,100%))),
IF(AND($A78="COMPOSICAO",$A$8="SEM DESONERAÇÃO"),_xlfn.XLOOKUP($B78,'CSD'!B:B,OFFSET('CSD'!$D:$D,0,1+MATCH($B$8,'CSD'!$E$4:$BF$4,0)),0),
IF(AND($A78="COMPOSICAO",$A$8="COM DESONERAÇÃO"),_xlfn.XLOOKUP($B78,'CCD'!B:B,OFFSET('CCD'!$D:$D,0,1+MATCH($B$8,'CCD'!$E$4:$BF$4,0)),0),
IF(AND($A78="COMPOSICAO",$A$8="SEM ENCARGOS SOCIAIS"),_xlfn.XLOOKUP($B78,'CSE'!B:B,OFFSET('CSE'!$D:$D,0,1+MATCH($B$8,'CSE'!$E$9:$BF$9,0)),0),""
)))))))</f>
        <v>0</v>
      </c>
    </row>
    <row r="79" spans="6:8">
      <c r="F79" s="19" cm="1">
        <f t="array" ref="F79">IF($A79="","",
IF(AND($A79="INSUMO",$A$8="SEM DESONERAÇÃO"),_xlfn.LET(_xlpm.linha_insumo,MATCH($B79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_xlpm.preco_regional_as,INDEX($M:$M,MATCH($B79&amp;"_"&amp;$B$8,$K:$K,0)),
IF(ISERROR(_xlpm.linha_insumo),0,IF(_xlpm.preco_uf&lt;&gt;0,_xlpm.preco_uf,IF(ISNUMBER(_xlpm.preco_regional_as),_xlpm.preco_regional_as,_xlpm.preco_sp)))),
IF(AND($A79="INSUMO",$A$8="COM DESONERAÇÃO"),_xlfn.LET(_xlpm.linha_insumo,MATCH($B79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_xlpm.preco_regional_as,INDEX($N:$N,MATCH($B79&amp;"_"&amp;$B$8,$K:$K,0)),
IF(ISERROR(_xlpm.linha_insumo),0,IF(_xlpm.preco_uf&lt;&gt;0,_xlpm.preco_uf,IF(ISNUMBER(_xlpm.preco_regional_as),_xlpm.preco_regional_as,_xlpm.preco_sp)))),
IF(AND($A79="INSUMO",$A$8="SEM ENCARGOS SOCIAIS"),_xlfn.LET(_xlpm.linha_insumo,MATCH($B79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_xlpm.preco_regional_as,INDEX($L:$L,MATCH($B79&amp;"_"&amp;$B$8,$K:$K,0)),
IF(ISERROR(_xlpm.linha_insumo),0,IF(_xlpm.preco_uf&lt;&gt;0,_xlpm.preco_uf,IF(ISNUMBER(_xlpm.preco_regional_as),_xlpm.preco_regional_as,_xlpm.preco_sp)))),
IF(AND($A79="COMPOSICAO",$A$8="SEM DESONERAÇÃO"),_xlfn.XLOOKUP($B79,'CSD'!B:B,OFFSET('CSD'!$D:$D,0,MATCH($B$8,'CSD'!$E$4:$BF$4,0)),0),
IF(AND($A79="COMPOSICAO",$A$8="COM DESONERAÇÃO"),_xlfn.XLOOKUP($B79,'CCD'!B:B,OFFSET('CCD'!$D:$D,0,MATCH($B$8,'CCD'!$E$4:$BF$4,0)),0),
IF(AND($A79="COMPOSICAO",$A$8="SEM ENCARGOS SOCIAIS"),_xlfn.XLOOKUP($B79,'CSE'!B:B,OFFSET('CSE'!$D:$D,0,MATCH($B$8,'CSE'!$E$9:$BF$9,0)),0),""
)))))))</f>
        <v>0</v>
      </c>
      <c r="G79" s="19">
        <f>IF($A79="","",TRUNC(E79*F79,2))</f>
        <v>0</v>
      </c>
      <c r="H79" s="20" cm="1">
        <f t="array" ref="H79">IF($A79="","",
IF(AND($A79="INSUMO",$A$8="SEM DESONERAÇÃO"),_xlfn.LET(_xlpm.linha_insumo,MATCH($B79,'ISD'!$B:$B,0),_xlpm.coluna_uf,MATCH($B$8,'ISD'!$F$4:$AF$4,0),_xlpm.preco_uf,INDEX('ISD'!$F:$AF,_xlpm.linha_insumo,_xlpm.coluna_uf),IF(ISERROR(_xlpm.linha_insumo),"",IF(_xlpm.preco_uf&lt;&gt;0,0%,100%))),
IF(AND($A79="INSUMO",$A$8="COM DESONERAÇÃO"),_xlfn.LET(_xlpm.linha_insumo,MATCH($B79,'ICD'!$B:$B,0),_xlpm.coluna_uf,MATCH($B$8,'ICD'!$F$4:$AF$4,0),_xlpm.preco_uf,INDEX('ICD'!$F:$AF,_xlpm.linha_insumo,_xlpm.coluna_uf),IF(ISERROR(_xlpm.linha_insumo),"",IF(_xlpm.preco_uf&lt;&gt;0,0%,100%))),
IF(AND($A79="INSUMO",$A$8="SEM ENCARGOS SOCIAIS"),_xlfn.LET(_xlpm.linha_insumo,MATCH($B79,'ISE'!$B:$B,0),_xlpm.coluna_uf,MATCH($B$8,'ISE'!$F$10:$AF$10,0),_xlpm.preco_uf,INDEX('ISE'!$F:$AF,_xlpm.linha_insumo,_xlpm.coluna_uf),IF(ISERROR(_xlpm.linha_insumo),"",IF(_xlpm.preco_uf&lt;&gt;0,0%,100%))),
IF(AND($A79="COMPOSICAO",$A$8="SEM DESONERAÇÃO"),_xlfn.XLOOKUP($B79,'CSD'!B:B,OFFSET('CSD'!$D:$D,0,1+MATCH($B$8,'CSD'!$E$4:$BF$4,0)),0),
IF(AND($A79="COMPOSICAO",$A$8="COM DESONERAÇÃO"),_xlfn.XLOOKUP($B79,'CCD'!B:B,OFFSET('CCD'!$D:$D,0,1+MATCH($B$8,'CCD'!$E$4:$BF$4,0)),0),
IF(AND($A79="COMPOSICAO",$A$8="SEM ENCARGOS SOCIAIS"),_xlfn.XLOOKUP($B79,'CSE'!B:B,OFFSET('CSE'!$D:$D,0,1+MATCH($B$8,'CSE'!$E$9:$BF$9,0)),0),""
)))))))</f>
        <v>0</v>
      </c>
    </row>
    <row r="80" spans="6:8">
      <c r="F80" s="19" cm="1">
        <f t="array" ref="F80">IF($A80="","",
IF(AND($A80="INSUMO",$A$8="SEM DESONERAÇÃO"),_xlfn.LET(_xlpm.linha_insumo,MATCH($B80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_xlpm.preco_regional_as,INDEX($M:$M,MATCH($B80&amp;"_"&amp;$B$8,$K:$K,0)),
IF(ISERROR(_xlpm.linha_insumo),0,IF(_xlpm.preco_uf&lt;&gt;0,_xlpm.preco_uf,IF(ISNUMBER(_xlpm.preco_regional_as),_xlpm.preco_regional_as,_xlpm.preco_sp)))),
IF(AND($A80="INSUMO",$A$8="COM DESONERAÇÃO"),_xlfn.LET(_xlpm.linha_insumo,MATCH($B80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_xlpm.preco_regional_as,INDEX($N:$N,MATCH($B80&amp;"_"&amp;$B$8,$K:$K,0)),
IF(ISERROR(_xlpm.linha_insumo),0,IF(_xlpm.preco_uf&lt;&gt;0,_xlpm.preco_uf,IF(ISNUMBER(_xlpm.preco_regional_as),_xlpm.preco_regional_as,_xlpm.preco_sp)))),
IF(AND($A80="INSUMO",$A$8="SEM ENCARGOS SOCIAIS"),_xlfn.LET(_xlpm.linha_insumo,MATCH($B80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_xlpm.preco_regional_as,INDEX($L:$L,MATCH($B80&amp;"_"&amp;$B$8,$K:$K,0)),
IF(ISERROR(_xlpm.linha_insumo),0,IF(_xlpm.preco_uf&lt;&gt;0,_xlpm.preco_uf,IF(ISNUMBER(_xlpm.preco_regional_as),_xlpm.preco_regional_as,_xlpm.preco_sp)))),
IF(AND($A80="COMPOSICAO",$A$8="SEM DESONERAÇÃO"),_xlfn.XLOOKUP($B80,'CSD'!B:B,OFFSET('CSD'!$D:$D,0,MATCH($B$8,'CSD'!$E$4:$BF$4,0)),0),
IF(AND($A80="COMPOSICAO",$A$8="COM DESONERAÇÃO"),_xlfn.XLOOKUP($B80,'CCD'!B:B,OFFSET('CCD'!$D:$D,0,MATCH($B$8,'CCD'!$E$4:$BF$4,0)),0),
IF(AND($A80="COMPOSICAO",$A$8="SEM ENCARGOS SOCIAIS"),_xlfn.XLOOKUP($B80,'CSE'!B:B,OFFSET('CSE'!$D:$D,0,MATCH($B$8,'CSE'!$E$9:$BF$9,0)),0),""
)))))))</f>
        <v>0</v>
      </c>
      <c r="G80" s="19">
        <f>IF($A80="","",TRUNC(E80*F80,2))</f>
        <v>0</v>
      </c>
      <c r="H80" s="20" cm="1">
        <f t="array" ref="H80">IF($A80="","",
IF(AND($A80="INSUMO",$A$8="SEM DESONERAÇÃO"),_xlfn.LET(_xlpm.linha_insumo,MATCH($B80,'ISD'!$B:$B,0),_xlpm.coluna_uf,MATCH($B$8,'ISD'!$F$4:$AF$4,0),_xlpm.preco_uf,INDEX('ISD'!$F:$AF,_xlpm.linha_insumo,_xlpm.coluna_uf),IF(ISERROR(_xlpm.linha_insumo),"",IF(_xlpm.preco_uf&lt;&gt;0,0%,100%))),
IF(AND($A80="INSUMO",$A$8="COM DESONERAÇÃO"),_xlfn.LET(_xlpm.linha_insumo,MATCH($B80,'ICD'!$B:$B,0),_xlpm.coluna_uf,MATCH($B$8,'ICD'!$F$4:$AF$4,0),_xlpm.preco_uf,INDEX('ICD'!$F:$AF,_xlpm.linha_insumo,_xlpm.coluna_uf),IF(ISERROR(_xlpm.linha_insumo),"",IF(_xlpm.preco_uf&lt;&gt;0,0%,100%))),
IF(AND($A80="INSUMO",$A$8="SEM ENCARGOS SOCIAIS"),_xlfn.LET(_xlpm.linha_insumo,MATCH($B80,'ISE'!$B:$B,0),_xlpm.coluna_uf,MATCH($B$8,'ISE'!$F$10:$AF$10,0),_xlpm.preco_uf,INDEX('ISE'!$F:$AF,_xlpm.linha_insumo,_xlpm.coluna_uf),IF(ISERROR(_xlpm.linha_insumo),"",IF(_xlpm.preco_uf&lt;&gt;0,0%,100%))),
IF(AND($A80="COMPOSICAO",$A$8="SEM DESONERAÇÃO"),_xlfn.XLOOKUP($B80,'CSD'!B:B,OFFSET('CSD'!$D:$D,0,1+MATCH($B$8,'CSD'!$E$4:$BF$4,0)),0),
IF(AND($A80="COMPOSICAO",$A$8="COM DESONERAÇÃO"),_xlfn.XLOOKUP($B80,'CCD'!B:B,OFFSET('CCD'!$D:$D,0,1+MATCH($B$8,'CCD'!$E$4:$BF$4,0)),0),
IF(AND($A80="COMPOSICAO",$A$8="SEM ENCARGOS SOCIAIS"),_xlfn.XLOOKUP($B80,'CSE'!B:B,OFFSET('CSE'!$D:$D,0,1+MATCH($B$8,'CSE'!$E$9:$BF$9,0)),0),""
)))))))</f>
        <v>0</v>
      </c>
    </row>
    <row r="81" spans="6:8">
      <c r="F81" s="19" cm="1">
        <f t="array" ref="F81">IF($A81="","",
IF(AND($A81="INSUMO",$A$8="SEM DESONERAÇÃO"),_xlfn.LET(_xlpm.linha_insumo,MATCH($B81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_xlpm.preco_regional_as,INDEX($M:$M,MATCH($B81&amp;"_"&amp;$B$8,$K:$K,0)),
IF(ISERROR(_xlpm.linha_insumo),0,IF(_xlpm.preco_uf&lt;&gt;0,_xlpm.preco_uf,IF(ISNUMBER(_xlpm.preco_regional_as),_xlpm.preco_regional_as,_xlpm.preco_sp)))),
IF(AND($A81="INSUMO",$A$8="COM DESONERAÇÃO"),_xlfn.LET(_xlpm.linha_insumo,MATCH($B81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_xlpm.preco_regional_as,INDEX($N:$N,MATCH($B81&amp;"_"&amp;$B$8,$K:$K,0)),
IF(ISERROR(_xlpm.linha_insumo),0,IF(_xlpm.preco_uf&lt;&gt;0,_xlpm.preco_uf,IF(ISNUMBER(_xlpm.preco_regional_as),_xlpm.preco_regional_as,_xlpm.preco_sp)))),
IF(AND($A81="INSUMO",$A$8="SEM ENCARGOS SOCIAIS"),_xlfn.LET(_xlpm.linha_insumo,MATCH($B81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_xlpm.preco_regional_as,INDEX($L:$L,MATCH($B81&amp;"_"&amp;$B$8,$K:$K,0)),
IF(ISERROR(_xlpm.linha_insumo),0,IF(_xlpm.preco_uf&lt;&gt;0,_xlpm.preco_uf,IF(ISNUMBER(_xlpm.preco_regional_as),_xlpm.preco_regional_as,_xlpm.preco_sp)))),
IF(AND($A81="COMPOSICAO",$A$8="SEM DESONERAÇÃO"),_xlfn.XLOOKUP($B81,'CSD'!B:B,OFFSET('CSD'!$D:$D,0,MATCH($B$8,'CSD'!$E$4:$BF$4,0)),0),
IF(AND($A81="COMPOSICAO",$A$8="COM DESONERAÇÃO"),_xlfn.XLOOKUP($B81,'CCD'!B:B,OFFSET('CCD'!$D:$D,0,MATCH($B$8,'CCD'!$E$4:$BF$4,0)),0),
IF(AND($A81="COMPOSICAO",$A$8="SEM ENCARGOS SOCIAIS"),_xlfn.XLOOKUP($B81,'CSE'!B:B,OFFSET('CSE'!$D:$D,0,MATCH($B$8,'CSE'!$E$9:$BF$9,0)),0),""
)))))))</f>
        <v>0</v>
      </c>
      <c r="G81" s="19">
        <f>IF($A81="","",TRUNC(E81*F81,2))</f>
        <v>0</v>
      </c>
      <c r="H81" s="20" cm="1">
        <f t="array" ref="H81">IF($A81="","",
IF(AND($A81="INSUMO",$A$8="SEM DESONERAÇÃO"),_xlfn.LET(_xlpm.linha_insumo,MATCH($B81,'ISD'!$B:$B,0),_xlpm.coluna_uf,MATCH($B$8,'ISD'!$F$4:$AF$4,0),_xlpm.preco_uf,INDEX('ISD'!$F:$AF,_xlpm.linha_insumo,_xlpm.coluna_uf),IF(ISERROR(_xlpm.linha_insumo),"",IF(_xlpm.preco_uf&lt;&gt;0,0%,100%))),
IF(AND($A81="INSUMO",$A$8="COM DESONERAÇÃO"),_xlfn.LET(_xlpm.linha_insumo,MATCH($B81,'ICD'!$B:$B,0),_xlpm.coluna_uf,MATCH($B$8,'ICD'!$F$4:$AF$4,0),_xlpm.preco_uf,INDEX('ICD'!$F:$AF,_xlpm.linha_insumo,_xlpm.coluna_uf),IF(ISERROR(_xlpm.linha_insumo),"",IF(_xlpm.preco_uf&lt;&gt;0,0%,100%))),
IF(AND($A81="INSUMO",$A$8="SEM ENCARGOS SOCIAIS"),_xlfn.LET(_xlpm.linha_insumo,MATCH($B81,'ISE'!$B:$B,0),_xlpm.coluna_uf,MATCH($B$8,'ISE'!$F$10:$AF$10,0),_xlpm.preco_uf,INDEX('ISE'!$F:$AF,_xlpm.linha_insumo,_xlpm.coluna_uf),IF(ISERROR(_xlpm.linha_insumo),"",IF(_xlpm.preco_uf&lt;&gt;0,0%,100%))),
IF(AND($A81="COMPOSICAO",$A$8="SEM DESONERAÇÃO"),_xlfn.XLOOKUP($B81,'CSD'!B:B,OFFSET('CSD'!$D:$D,0,1+MATCH($B$8,'CSD'!$E$4:$BF$4,0)),0),
IF(AND($A81="COMPOSICAO",$A$8="COM DESONERAÇÃO"),_xlfn.XLOOKUP($B81,'CCD'!B:B,OFFSET('CCD'!$D:$D,0,1+MATCH($B$8,'CCD'!$E$4:$BF$4,0)),0),
IF(AND($A81="COMPOSICAO",$A$8="SEM ENCARGOS SOCIAIS"),_xlfn.XLOOKUP($B81,'CSE'!B:B,OFFSET('CSE'!$D:$D,0,1+MATCH($B$8,'CSE'!$E$9:$BF$9,0)),0),""
)))))))</f>
        <v>0</v>
      </c>
    </row>
    <row r="82" spans="6:8">
      <c r="F82" s="19" cm="1">
        <f t="array" ref="F82">IF($A82="","",
IF(AND($A82="INSUMO",$A$8="SEM DESONERAÇÃO"),_xlfn.LET(_xlpm.linha_insumo,MATCH($B82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_xlpm.preco_regional_as,INDEX($M:$M,MATCH($B82&amp;"_"&amp;$B$8,$K:$K,0)),
IF(ISERROR(_xlpm.linha_insumo),0,IF(_xlpm.preco_uf&lt;&gt;0,_xlpm.preco_uf,IF(ISNUMBER(_xlpm.preco_regional_as),_xlpm.preco_regional_as,_xlpm.preco_sp)))),
IF(AND($A82="INSUMO",$A$8="COM DESONERAÇÃO"),_xlfn.LET(_xlpm.linha_insumo,MATCH($B82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_xlpm.preco_regional_as,INDEX($N:$N,MATCH($B82&amp;"_"&amp;$B$8,$K:$K,0)),
IF(ISERROR(_xlpm.linha_insumo),0,IF(_xlpm.preco_uf&lt;&gt;0,_xlpm.preco_uf,IF(ISNUMBER(_xlpm.preco_regional_as),_xlpm.preco_regional_as,_xlpm.preco_sp)))),
IF(AND($A82="INSUMO",$A$8="SEM ENCARGOS SOCIAIS"),_xlfn.LET(_xlpm.linha_insumo,MATCH($B82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_xlpm.preco_regional_as,INDEX($L:$L,MATCH($B82&amp;"_"&amp;$B$8,$K:$K,0)),
IF(ISERROR(_xlpm.linha_insumo),0,IF(_xlpm.preco_uf&lt;&gt;0,_xlpm.preco_uf,IF(ISNUMBER(_xlpm.preco_regional_as),_xlpm.preco_regional_as,_xlpm.preco_sp)))),
IF(AND($A82="COMPOSICAO",$A$8="SEM DESONERAÇÃO"),_xlfn.XLOOKUP($B82,'CSD'!B:B,OFFSET('CSD'!$D:$D,0,MATCH($B$8,'CSD'!$E$4:$BF$4,0)),0),
IF(AND($A82="COMPOSICAO",$A$8="COM DESONERAÇÃO"),_xlfn.XLOOKUP($B82,'CCD'!B:B,OFFSET('CCD'!$D:$D,0,MATCH($B$8,'CCD'!$E$4:$BF$4,0)),0),
IF(AND($A82="COMPOSICAO",$A$8="SEM ENCARGOS SOCIAIS"),_xlfn.XLOOKUP($B82,'CSE'!B:B,OFFSET('CSE'!$D:$D,0,MATCH($B$8,'CSE'!$E$9:$BF$9,0)),0),""
)))))))</f>
        <v>0</v>
      </c>
      <c r="G82" s="19">
        <f>IF($A82="","",TRUNC(E82*F82,2))</f>
        <v>0</v>
      </c>
      <c r="H82" s="20" cm="1">
        <f t="array" ref="H82">IF($A82="","",
IF(AND($A82="INSUMO",$A$8="SEM DESONERAÇÃO"),_xlfn.LET(_xlpm.linha_insumo,MATCH($B82,'ISD'!$B:$B,0),_xlpm.coluna_uf,MATCH($B$8,'ISD'!$F$4:$AF$4,0),_xlpm.preco_uf,INDEX('ISD'!$F:$AF,_xlpm.linha_insumo,_xlpm.coluna_uf),IF(ISERROR(_xlpm.linha_insumo),"",IF(_xlpm.preco_uf&lt;&gt;0,0%,100%))),
IF(AND($A82="INSUMO",$A$8="COM DESONERAÇÃO"),_xlfn.LET(_xlpm.linha_insumo,MATCH($B82,'ICD'!$B:$B,0),_xlpm.coluna_uf,MATCH($B$8,'ICD'!$F$4:$AF$4,0),_xlpm.preco_uf,INDEX('ICD'!$F:$AF,_xlpm.linha_insumo,_xlpm.coluna_uf),IF(ISERROR(_xlpm.linha_insumo),"",IF(_xlpm.preco_uf&lt;&gt;0,0%,100%))),
IF(AND($A82="INSUMO",$A$8="SEM ENCARGOS SOCIAIS"),_xlfn.LET(_xlpm.linha_insumo,MATCH($B82,'ISE'!$B:$B,0),_xlpm.coluna_uf,MATCH($B$8,'ISE'!$F$10:$AF$10,0),_xlpm.preco_uf,INDEX('ISE'!$F:$AF,_xlpm.linha_insumo,_xlpm.coluna_uf),IF(ISERROR(_xlpm.linha_insumo),"",IF(_xlpm.preco_uf&lt;&gt;0,0%,100%))),
IF(AND($A82="COMPOSICAO",$A$8="SEM DESONERAÇÃO"),_xlfn.XLOOKUP($B82,'CSD'!B:B,OFFSET('CSD'!$D:$D,0,1+MATCH($B$8,'CSD'!$E$4:$BF$4,0)),0),
IF(AND($A82="COMPOSICAO",$A$8="COM DESONERAÇÃO"),_xlfn.XLOOKUP($B82,'CCD'!B:B,OFFSET('CCD'!$D:$D,0,1+MATCH($B$8,'CCD'!$E$4:$BF$4,0)),0),
IF(AND($A82="COMPOSICAO",$A$8="SEM ENCARGOS SOCIAIS"),_xlfn.XLOOKUP($B82,'CSE'!B:B,OFFSET('CSE'!$D:$D,0,1+MATCH($B$8,'CSE'!$E$9:$BF$9,0)),0),""
)))))))</f>
        <v>0</v>
      </c>
    </row>
    <row r="83" spans="6:8">
      <c r="F83" s="19" cm="1">
        <f t="array" ref="F83">IF($A83="","",
IF(AND($A83="INSUMO",$A$8="SEM DESONERAÇÃO"),_xlfn.LET(_xlpm.linha_insumo,MATCH($B83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_xlpm.preco_regional_as,INDEX($M:$M,MATCH($B83&amp;"_"&amp;$B$8,$K:$K,0)),
IF(ISERROR(_xlpm.linha_insumo),0,IF(_xlpm.preco_uf&lt;&gt;0,_xlpm.preco_uf,IF(ISNUMBER(_xlpm.preco_regional_as),_xlpm.preco_regional_as,_xlpm.preco_sp)))),
IF(AND($A83="INSUMO",$A$8="COM DESONERAÇÃO"),_xlfn.LET(_xlpm.linha_insumo,MATCH($B83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_xlpm.preco_regional_as,INDEX($N:$N,MATCH($B83&amp;"_"&amp;$B$8,$K:$K,0)),
IF(ISERROR(_xlpm.linha_insumo),0,IF(_xlpm.preco_uf&lt;&gt;0,_xlpm.preco_uf,IF(ISNUMBER(_xlpm.preco_regional_as),_xlpm.preco_regional_as,_xlpm.preco_sp)))),
IF(AND($A83="INSUMO",$A$8="SEM ENCARGOS SOCIAIS"),_xlfn.LET(_xlpm.linha_insumo,MATCH($B83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_xlpm.preco_regional_as,INDEX($L:$L,MATCH($B83&amp;"_"&amp;$B$8,$K:$K,0)),
IF(ISERROR(_xlpm.linha_insumo),0,IF(_xlpm.preco_uf&lt;&gt;0,_xlpm.preco_uf,IF(ISNUMBER(_xlpm.preco_regional_as),_xlpm.preco_regional_as,_xlpm.preco_sp)))),
IF(AND($A83="COMPOSICAO",$A$8="SEM DESONERAÇÃO"),_xlfn.XLOOKUP($B83,'CSD'!B:B,OFFSET('CSD'!$D:$D,0,MATCH($B$8,'CSD'!$E$4:$BF$4,0)),0),
IF(AND($A83="COMPOSICAO",$A$8="COM DESONERAÇÃO"),_xlfn.XLOOKUP($B83,'CCD'!B:B,OFFSET('CCD'!$D:$D,0,MATCH($B$8,'CCD'!$E$4:$BF$4,0)),0),
IF(AND($A83="COMPOSICAO",$A$8="SEM ENCARGOS SOCIAIS"),_xlfn.XLOOKUP($B83,'CSE'!B:B,OFFSET('CSE'!$D:$D,0,MATCH($B$8,'CSE'!$E$9:$BF$9,0)),0),""
)))))))</f>
        <v>0</v>
      </c>
      <c r="G83" s="19">
        <f>IF($A83="","",TRUNC(E83*F83,2))</f>
        <v>0</v>
      </c>
      <c r="H83" s="20" cm="1">
        <f t="array" ref="H83">IF($A83="","",
IF(AND($A83="INSUMO",$A$8="SEM DESONERAÇÃO"),_xlfn.LET(_xlpm.linha_insumo,MATCH($B83,'ISD'!$B:$B,0),_xlpm.coluna_uf,MATCH($B$8,'ISD'!$F$4:$AF$4,0),_xlpm.preco_uf,INDEX('ISD'!$F:$AF,_xlpm.linha_insumo,_xlpm.coluna_uf),IF(ISERROR(_xlpm.linha_insumo),"",IF(_xlpm.preco_uf&lt;&gt;0,0%,100%))),
IF(AND($A83="INSUMO",$A$8="COM DESONERAÇÃO"),_xlfn.LET(_xlpm.linha_insumo,MATCH($B83,'ICD'!$B:$B,0),_xlpm.coluna_uf,MATCH($B$8,'ICD'!$F$4:$AF$4,0),_xlpm.preco_uf,INDEX('ICD'!$F:$AF,_xlpm.linha_insumo,_xlpm.coluna_uf),IF(ISERROR(_xlpm.linha_insumo),"",IF(_xlpm.preco_uf&lt;&gt;0,0%,100%))),
IF(AND($A83="INSUMO",$A$8="SEM ENCARGOS SOCIAIS"),_xlfn.LET(_xlpm.linha_insumo,MATCH($B83,'ISE'!$B:$B,0),_xlpm.coluna_uf,MATCH($B$8,'ISE'!$F$10:$AF$10,0),_xlpm.preco_uf,INDEX('ISE'!$F:$AF,_xlpm.linha_insumo,_xlpm.coluna_uf),IF(ISERROR(_xlpm.linha_insumo),"",IF(_xlpm.preco_uf&lt;&gt;0,0%,100%))),
IF(AND($A83="COMPOSICAO",$A$8="SEM DESONERAÇÃO"),_xlfn.XLOOKUP($B83,'CSD'!B:B,OFFSET('CSD'!$D:$D,0,1+MATCH($B$8,'CSD'!$E$4:$BF$4,0)),0),
IF(AND($A83="COMPOSICAO",$A$8="COM DESONERAÇÃO"),_xlfn.XLOOKUP($B83,'CCD'!B:B,OFFSET('CCD'!$D:$D,0,1+MATCH($B$8,'CCD'!$E$4:$BF$4,0)),0),
IF(AND($A83="COMPOSICAO",$A$8="SEM ENCARGOS SOCIAIS"),_xlfn.XLOOKUP($B83,'CSE'!B:B,OFFSET('CSE'!$D:$D,0,1+MATCH($B$8,'CSE'!$E$9:$BF$9,0)),0),""
)))))))</f>
        <v>0</v>
      </c>
    </row>
    <row r="84" spans="6:8">
      <c r="F84" s="19" cm="1">
        <f t="array" ref="F84">IF($A84="","",
IF(AND($A84="INSUMO",$A$8="SEM DESONERAÇÃO"),_xlfn.LET(_xlpm.linha_insumo,MATCH($B84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_xlpm.preco_regional_as,INDEX($M:$M,MATCH($B84&amp;"_"&amp;$B$8,$K:$K,0)),
IF(ISERROR(_xlpm.linha_insumo),0,IF(_xlpm.preco_uf&lt;&gt;0,_xlpm.preco_uf,IF(ISNUMBER(_xlpm.preco_regional_as),_xlpm.preco_regional_as,_xlpm.preco_sp)))),
IF(AND($A84="INSUMO",$A$8="COM DESONERAÇÃO"),_xlfn.LET(_xlpm.linha_insumo,MATCH($B84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_xlpm.preco_regional_as,INDEX($N:$N,MATCH($B84&amp;"_"&amp;$B$8,$K:$K,0)),
IF(ISERROR(_xlpm.linha_insumo),0,IF(_xlpm.preco_uf&lt;&gt;0,_xlpm.preco_uf,IF(ISNUMBER(_xlpm.preco_regional_as),_xlpm.preco_regional_as,_xlpm.preco_sp)))),
IF(AND($A84="INSUMO",$A$8="SEM ENCARGOS SOCIAIS"),_xlfn.LET(_xlpm.linha_insumo,MATCH($B84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_xlpm.preco_regional_as,INDEX($L:$L,MATCH($B84&amp;"_"&amp;$B$8,$K:$K,0)),
IF(ISERROR(_xlpm.linha_insumo),0,IF(_xlpm.preco_uf&lt;&gt;0,_xlpm.preco_uf,IF(ISNUMBER(_xlpm.preco_regional_as),_xlpm.preco_regional_as,_xlpm.preco_sp)))),
IF(AND($A84="COMPOSICAO",$A$8="SEM DESONERAÇÃO"),_xlfn.XLOOKUP($B84,'CSD'!B:B,OFFSET('CSD'!$D:$D,0,MATCH($B$8,'CSD'!$E$4:$BF$4,0)),0),
IF(AND($A84="COMPOSICAO",$A$8="COM DESONERAÇÃO"),_xlfn.XLOOKUP($B84,'CCD'!B:B,OFFSET('CCD'!$D:$D,0,MATCH($B$8,'CCD'!$E$4:$BF$4,0)),0),
IF(AND($A84="COMPOSICAO",$A$8="SEM ENCARGOS SOCIAIS"),_xlfn.XLOOKUP($B84,'CSE'!B:B,OFFSET('CSE'!$D:$D,0,MATCH($B$8,'CSE'!$E$9:$BF$9,0)),0),""
)))))))</f>
        <v>0</v>
      </c>
      <c r="G84" s="19">
        <f>IF($A84="","",TRUNC(E84*F84,2))</f>
        <v>0</v>
      </c>
      <c r="H84" s="20" cm="1">
        <f t="array" ref="H84">IF($A84="","",
IF(AND($A84="INSUMO",$A$8="SEM DESONERAÇÃO"),_xlfn.LET(_xlpm.linha_insumo,MATCH($B84,'ISD'!$B:$B,0),_xlpm.coluna_uf,MATCH($B$8,'ISD'!$F$4:$AF$4,0),_xlpm.preco_uf,INDEX('ISD'!$F:$AF,_xlpm.linha_insumo,_xlpm.coluna_uf),IF(ISERROR(_xlpm.linha_insumo),"",IF(_xlpm.preco_uf&lt;&gt;0,0%,100%))),
IF(AND($A84="INSUMO",$A$8="COM DESONERAÇÃO"),_xlfn.LET(_xlpm.linha_insumo,MATCH($B84,'ICD'!$B:$B,0),_xlpm.coluna_uf,MATCH($B$8,'ICD'!$F$4:$AF$4,0),_xlpm.preco_uf,INDEX('ICD'!$F:$AF,_xlpm.linha_insumo,_xlpm.coluna_uf),IF(ISERROR(_xlpm.linha_insumo),"",IF(_xlpm.preco_uf&lt;&gt;0,0%,100%))),
IF(AND($A84="INSUMO",$A$8="SEM ENCARGOS SOCIAIS"),_xlfn.LET(_xlpm.linha_insumo,MATCH($B84,'ISE'!$B:$B,0),_xlpm.coluna_uf,MATCH($B$8,'ISE'!$F$10:$AF$10,0),_xlpm.preco_uf,INDEX('ISE'!$F:$AF,_xlpm.linha_insumo,_xlpm.coluna_uf),IF(ISERROR(_xlpm.linha_insumo),"",IF(_xlpm.preco_uf&lt;&gt;0,0%,100%))),
IF(AND($A84="COMPOSICAO",$A$8="SEM DESONERAÇÃO"),_xlfn.XLOOKUP($B84,'CSD'!B:B,OFFSET('CSD'!$D:$D,0,1+MATCH($B$8,'CSD'!$E$4:$BF$4,0)),0),
IF(AND($A84="COMPOSICAO",$A$8="COM DESONERAÇÃO"),_xlfn.XLOOKUP($B84,'CCD'!B:B,OFFSET('CCD'!$D:$D,0,1+MATCH($B$8,'CCD'!$E$4:$BF$4,0)),0),
IF(AND($A84="COMPOSICAO",$A$8="SEM ENCARGOS SOCIAIS"),_xlfn.XLOOKUP($B84,'CSE'!B:B,OFFSET('CSE'!$D:$D,0,1+MATCH($B$8,'CSE'!$E$9:$BF$9,0)),0),""
)))))))</f>
        <v>0</v>
      </c>
    </row>
    <row r="85" spans="6:8">
      <c r="F85" s="19" cm="1">
        <f t="array" ref="F85">IF($A85="","",
IF(AND($A85="INSUMO",$A$8="SEM DESONERAÇÃO"),_xlfn.LET(_xlpm.linha_insumo,MATCH($B85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_xlpm.preco_regional_as,INDEX($M:$M,MATCH($B85&amp;"_"&amp;$B$8,$K:$K,0)),
IF(ISERROR(_xlpm.linha_insumo),0,IF(_xlpm.preco_uf&lt;&gt;0,_xlpm.preco_uf,IF(ISNUMBER(_xlpm.preco_regional_as),_xlpm.preco_regional_as,_xlpm.preco_sp)))),
IF(AND($A85="INSUMO",$A$8="COM DESONERAÇÃO"),_xlfn.LET(_xlpm.linha_insumo,MATCH($B85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_xlpm.preco_regional_as,INDEX($N:$N,MATCH($B85&amp;"_"&amp;$B$8,$K:$K,0)),
IF(ISERROR(_xlpm.linha_insumo),0,IF(_xlpm.preco_uf&lt;&gt;0,_xlpm.preco_uf,IF(ISNUMBER(_xlpm.preco_regional_as),_xlpm.preco_regional_as,_xlpm.preco_sp)))),
IF(AND($A85="INSUMO",$A$8="SEM ENCARGOS SOCIAIS"),_xlfn.LET(_xlpm.linha_insumo,MATCH($B85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_xlpm.preco_regional_as,INDEX($L:$L,MATCH($B85&amp;"_"&amp;$B$8,$K:$K,0)),
IF(ISERROR(_xlpm.linha_insumo),0,IF(_xlpm.preco_uf&lt;&gt;0,_xlpm.preco_uf,IF(ISNUMBER(_xlpm.preco_regional_as),_xlpm.preco_regional_as,_xlpm.preco_sp)))),
IF(AND($A85="COMPOSICAO",$A$8="SEM DESONERAÇÃO"),_xlfn.XLOOKUP($B85,'CSD'!B:B,OFFSET('CSD'!$D:$D,0,MATCH($B$8,'CSD'!$E$4:$BF$4,0)),0),
IF(AND($A85="COMPOSICAO",$A$8="COM DESONERAÇÃO"),_xlfn.XLOOKUP($B85,'CCD'!B:B,OFFSET('CCD'!$D:$D,0,MATCH($B$8,'CCD'!$E$4:$BF$4,0)),0),
IF(AND($A85="COMPOSICAO",$A$8="SEM ENCARGOS SOCIAIS"),_xlfn.XLOOKUP($B85,'CSE'!B:B,OFFSET('CSE'!$D:$D,0,MATCH($B$8,'CSE'!$E$9:$BF$9,0)),0),""
)))))))</f>
        <v>0</v>
      </c>
      <c r="G85" s="19">
        <f>IF($A85="","",TRUNC(E85*F85,2))</f>
        <v>0</v>
      </c>
      <c r="H85" s="20" cm="1">
        <f t="array" ref="H85">IF($A85="","",
IF(AND($A85="INSUMO",$A$8="SEM DESONERAÇÃO"),_xlfn.LET(_xlpm.linha_insumo,MATCH($B85,'ISD'!$B:$B,0),_xlpm.coluna_uf,MATCH($B$8,'ISD'!$F$4:$AF$4,0),_xlpm.preco_uf,INDEX('ISD'!$F:$AF,_xlpm.linha_insumo,_xlpm.coluna_uf),IF(ISERROR(_xlpm.linha_insumo),"",IF(_xlpm.preco_uf&lt;&gt;0,0%,100%))),
IF(AND($A85="INSUMO",$A$8="COM DESONERAÇÃO"),_xlfn.LET(_xlpm.linha_insumo,MATCH($B85,'ICD'!$B:$B,0),_xlpm.coluna_uf,MATCH($B$8,'ICD'!$F$4:$AF$4,0),_xlpm.preco_uf,INDEX('ICD'!$F:$AF,_xlpm.linha_insumo,_xlpm.coluna_uf),IF(ISERROR(_xlpm.linha_insumo),"",IF(_xlpm.preco_uf&lt;&gt;0,0%,100%))),
IF(AND($A85="INSUMO",$A$8="SEM ENCARGOS SOCIAIS"),_xlfn.LET(_xlpm.linha_insumo,MATCH($B85,'ISE'!$B:$B,0),_xlpm.coluna_uf,MATCH($B$8,'ISE'!$F$10:$AF$10,0),_xlpm.preco_uf,INDEX('ISE'!$F:$AF,_xlpm.linha_insumo,_xlpm.coluna_uf),IF(ISERROR(_xlpm.linha_insumo),"",IF(_xlpm.preco_uf&lt;&gt;0,0%,100%))),
IF(AND($A85="COMPOSICAO",$A$8="SEM DESONERAÇÃO"),_xlfn.XLOOKUP($B85,'CSD'!B:B,OFFSET('CSD'!$D:$D,0,1+MATCH($B$8,'CSD'!$E$4:$BF$4,0)),0),
IF(AND($A85="COMPOSICAO",$A$8="COM DESONERAÇÃO"),_xlfn.XLOOKUP($B85,'CCD'!B:B,OFFSET('CCD'!$D:$D,0,1+MATCH($B$8,'CCD'!$E$4:$BF$4,0)),0),
IF(AND($A85="COMPOSICAO",$A$8="SEM ENCARGOS SOCIAIS"),_xlfn.XLOOKUP($B85,'CSE'!B:B,OFFSET('CSE'!$D:$D,0,1+MATCH($B$8,'CSE'!$E$9:$BF$9,0)),0),""
)))))))</f>
        <v>0</v>
      </c>
    </row>
    <row r="86" spans="6:8">
      <c r="F86" s="19" cm="1">
        <f t="array" ref="F86">IF($A86="","",
IF(AND($A86="INSUMO",$A$8="SEM DESONERAÇÃO"),_xlfn.LET(_xlpm.linha_insumo,MATCH($B86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_xlpm.preco_regional_as,INDEX($M:$M,MATCH($B86&amp;"_"&amp;$B$8,$K:$K,0)),
IF(ISERROR(_xlpm.linha_insumo),0,IF(_xlpm.preco_uf&lt;&gt;0,_xlpm.preco_uf,IF(ISNUMBER(_xlpm.preco_regional_as),_xlpm.preco_regional_as,_xlpm.preco_sp)))),
IF(AND($A86="INSUMO",$A$8="COM DESONERAÇÃO"),_xlfn.LET(_xlpm.linha_insumo,MATCH($B86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_xlpm.preco_regional_as,INDEX($N:$N,MATCH($B86&amp;"_"&amp;$B$8,$K:$K,0)),
IF(ISERROR(_xlpm.linha_insumo),0,IF(_xlpm.preco_uf&lt;&gt;0,_xlpm.preco_uf,IF(ISNUMBER(_xlpm.preco_regional_as),_xlpm.preco_regional_as,_xlpm.preco_sp)))),
IF(AND($A86="INSUMO",$A$8="SEM ENCARGOS SOCIAIS"),_xlfn.LET(_xlpm.linha_insumo,MATCH($B86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_xlpm.preco_regional_as,INDEX($L:$L,MATCH($B86&amp;"_"&amp;$B$8,$K:$K,0)),
IF(ISERROR(_xlpm.linha_insumo),0,IF(_xlpm.preco_uf&lt;&gt;0,_xlpm.preco_uf,IF(ISNUMBER(_xlpm.preco_regional_as),_xlpm.preco_regional_as,_xlpm.preco_sp)))),
IF(AND($A86="COMPOSICAO",$A$8="SEM DESONERAÇÃO"),_xlfn.XLOOKUP($B86,'CSD'!B:B,OFFSET('CSD'!$D:$D,0,MATCH($B$8,'CSD'!$E$4:$BF$4,0)),0),
IF(AND($A86="COMPOSICAO",$A$8="COM DESONERAÇÃO"),_xlfn.XLOOKUP($B86,'CCD'!B:B,OFFSET('CCD'!$D:$D,0,MATCH($B$8,'CCD'!$E$4:$BF$4,0)),0),
IF(AND($A86="COMPOSICAO",$A$8="SEM ENCARGOS SOCIAIS"),_xlfn.XLOOKUP($B86,'CSE'!B:B,OFFSET('CSE'!$D:$D,0,MATCH($B$8,'CSE'!$E$9:$BF$9,0)),0),""
)))))))</f>
        <v>0</v>
      </c>
      <c r="G86" s="19">
        <f>IF($A86="","",TRUNC(E86*F86,2))</f>
        <v>0</v>
      </c>
      <c r="H86" s="20" cm="1">
        <f t="array" ref="H86">IF($A86="","",
IF(AND($A86="INSUMO",$A$8="SEM DESONERAÇÃO"),_xlfn.LET(_xlpm.linha_insumo,MATCH($B86,'ISD'!$B:$B,0),_xlpm.coluna_uf,MATCH($B$8,'ISD'!$F$4:$AF$4,0),_xlpm.preco_uf,INDEX('ISD'!$F:$AF,_xlpm.linha_insumo,_xlpm.coluna_uf),IF(ISERROR(_xlpm.linha_insumo),"",IF(_xlpm.preco_uf&lt;&gt;0,0%,100%))),
IF(AND($A86="INSUMO",$A$8="COM DESONERAÇÃO"),_xlfn.LET(_xlpm.linha_insumo,MATCH($B86,'ICD'!$B:$B,0),_xlpm.coluna_uf,MATCH($B$8,'ICD'!$F$4:$AF$4,0),_xlpm.preco_uf,INDEX('ICD'!$F:$AF,_xlpm.linha_insumo,_xlpm.coluna_uf),IF(ISERROR(_xlpm.linha_insumo),"",IF(_xlpm.preco_uf&lt;&gt;0,0%,100%))),
IF(AND($A86="INSUMO",$A$8="SEM ENCARGOS SOCIAIS"),_xlfn.LET(_xlpm.linha_insumo,MATCH($B86,'ISE'!$B:$B,0),_xlpm.coluna_uf,MATCH($B$8,'ISE'!$F$10:$AF$10,0),_xlpm.preco_uf,INDEX('ISE'!$F:$AF,_xlpm.linha_insumo,_xlpm.coluna_uf),IF(ISERROR(_xlpm.linha_insumo),"",IF(_xlpm.preco_uf&lt;&gt;0,0%,100%))),
IF(AND($A86="COMPOSICAO",$A$8="SEM DESONERAÇÃO"),_xlfn.XLOOKUP($B86,'CSD'!B:B,OFFSET('CSD'!$D:$D,0,1+MATCH($B$8,'CSD'!$E$4:$BF$4,0)),0),
IF(AND($A86="COMPOSICAO",$A$8="COM DESONERAÇÃO"),_xlfn.XLOOKUP($B86,'CCD'!B:B,OFFSET('CCD'!$D:$D,0,1+MATCH($B$8,'CCD'!$E$4:$BF$4,0)),0),
IF(AND($A86="COMPOSICAO",$A$8="SEM ENCARGOS SOCIAIS"),_xlfn.XLOOKUP($B86,'CSE'!B:B,OFFSET('CSE'!$D:$D,0,1+MATCH($B$8,'CSE'!$E$9:$BF$9,0)),0),""
)))))))</f>
        <v>0</v>
      </c>
    </row>
    <row r="87" spans="6:8">
      <c r="F87" s="19" cm="1">
        <f t="array" ref="F87">IF($A87="","",
IF(AND($A87="INSUMO",$A$8="SEM DESONERAÇÃO"),_xlfn.LET(_xlpm.linha_insumo,MATCH($B87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_xlpm.preco_regional_as,INDEX($M:$M,MATCH($B87&amp;"_"&amp;$B$8,$K:$K,0)),
IF(ISERROR(_xlpm.linha_insumo),0,IF(_xlpm.preco_uf&lt;&gt;0,_xlpm.preco_uf,IF(ISNUMBER(_xlpm.preco_regional_as),_xlpm.preco_regional_as,_xlpm.preco_sp)))),
IF(AND($A87="INSUMO",$A$8="COM DESONERAÇÃO"),_xlfn.LET(_xlpm.linha_insumo,MATCH($B87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_xlpm.preco_regional_as,INDEX($N:$N,MATCH($B87&amp;"_"&amp;$B$8,$K:$K,0)),
IF(ISERROR(_xlpm.linha_insumo),0,IF(_xlpm.preco_uf&lt;&gt;0,_xlpm.preco_uf,IF(ISNUMBER(_xlpm.preco_regional_as),_xlpm.preco_regional_as,_xlpm.preco_sp)))),
IF(AND($A87="INSUMO",$A$8="SEM ENCARGOS SOCIAIS"),_xlfn.LET(_xlpm.linha_insumo,MATCH($B87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_xlpm.preco_regional_as,INDEX($L:$L,MATCH($B87&amp;"_"&amp;$B$8,$K:$K,0)),
IF(ISERROR(_xlpm.linha_insumo),0,IF(_xlpm.preco_uf&lt;&gt;0,_xlpm.preco_uf,IF(ISNUMBER(_xlpm.preco_regional_as),_xlpm.preco_regional_as,_xlpm.preco_sp)))),
IF(AND($A87="COMPOSICAO",$A$8="SEM DESONERAÇÃO"),_xlfn.XLOOKUP($B87,'CSD'!B:B,OFFSET('CSD'!$D:$D,0,MATCH($B$8,'CSD'!$E$4:$BF$4,0)),0),
IF(AND($A87="COMPOSICAO",$A$8="COM DESONERAÇÃO"),_xlfn.XLOOKUP($B87,'CCD'!B:B,OFFSET('CCD'!$D:$D,0,MATCH($B$8,'CCD'!$E$4:$BF$4,0)),0),
IF(AND($A87="COMPOSICAO",$A$8="SEM ENCARGOS SOCIAIS"),_xlfn.XLOOKUP($B87,'CSE'!B:B,OFFSET('CSE'!$D:$D,0,MATCH($B$8,'CSE'!$E$9:$BF$9,0)),0),""
)))))))</f>
        <v>0</v>
      </c>
      <c r="G87" s="19">
        <f>IF($A87="","",TRUNC(E87*F87,2))</f>
        <v>0</v>
      </c>
      <c r="H87" s="20" cm="1">
        <f t="array" ref="H87">IF($A87="","",
IF(AND($A87="INSUMO",$A$8="SEM DESONERAÇÃO"),_xlfn.LET(_xlpm.linha_insumo,MATCH($B87,'ISD'!$B:$B,0),_xlpm.coluna_uf,MATCH($B$8,'ISD'!$F$4:$AF$4,0),_xlpm.preco_uf,INDEX('ISD'!$F:$AF,_xlpm.linha_insumo,_xlpm.coluna_uf),IF(ISERROR(_xlpm.linha_insumo),"",IF(_xlpm.preco_uf&lt;&gt;0,0%,100%))),
IF(AND($A87="INSUMO",$A$8="COM DESONERAÇÃO"),_xlfn.LET(_xlpm.linha_insumo,MATCH($B87,'ICD'!$B:$B,0),_xlpm.coluna_uf,MATCH($B$8,'ICD'!$F$4:$AF$4,0),_xlpm.preco_uf,INDEX('ICD'!$F:$AF,_xlpm.linha_insumo,_xlpm.coluna_uf),IF(ISERROR(_xlpm.linha_insumo),"",IF(_xlpm.preco_uf&lt;&gt;0,0%,100%))),
IF(AND($A87="INSUMO",$A$8="SEM ENCARGOS SOCIAIS"),_xlfn.LET(_xlpm.linha_insumo,MATCH($B87,'ISE'!$B:$B,0),_xlpm.coluna_uf,MATCH($B$8,'ISE'!$F$10:$AF$10,0),_xlpm.preco_uf,INDEX('ISE'!$F:$AF,_xlpm.linha_insumo,_xlpm.coluna_uf),IF(ISERROR(_xlpm.linha_insumo),"",IF(_xlpm.preco_uf&lt;&gt;0,0%,100%))),
IF(AND($A87="COMPOSICAO",$A$8="SEM DESONERAÇÃO"),_xlfn.XLOOKUP($B87,'CSD'!B:B,OFFSET('CSD'!$D:$D,0,1+MATCH($B$8,'CSD'!$E$4:$BF$4,0)),0),
IF(AND($A87="COMPOSICAO",$A$8="COM DESONERAÇÃO"),_xlfn.XLOOKUP($B87,'CCD'!B:B,OFFSET('CCD'!$D:$D,0,1+MATCH($B$8,'CCD'!$E$4:$BF$4,0)),0),
IF(AND($A87="COMPOSICAO",$A$8="SEM ENCARGOS SOCIAIS"),_xlfn.XLOOKUP($B87,'CSE'!B:B,OFFSET('CSE'!$D:$D,0,1+MATCH($B$8,'CSE'!$E$9:$BF$9,0)),0),""
)))))))</f>
        <v>0</v>
      </c>
    </row>
    <row r="88" spans="6:8">
      <c r="F88" s="19" cm="1">
        <f t="array" ref="F88">IF($A88="","",
IF(AND($A88="INSUMO",$A$8="SEM DESONERAÇÃO"),_xlfn.LET(_xlpm.linha_insumo,MATCH($B88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_xlpm.preco_regional_as,INDEX($M:$M,MATCH($B88&amp;"_"&amp;$B$8,$K:$K,0)),
IF(ISERROR(_xlpm.linha_insumo),0,IF(_xlpm.preco_uf&lt;&gt;0,_xlpm.preco_uf,IF(ISNUMBER(_xlpm.preco_regional_as),_xlpm.preco_regional_as,_xlpm.preco_sp)))),
IF(AND($A88="INSUMO",$A$8="COM DESONERAÇÃO"),_xlfn.LET(_xlpm.linha_insumo,MATCH($B88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_xlpm.preco_regional_as,INDEX($N:$N,MATCH($B88&amp;"_"&amp;$B$8,$K:$K,0)),
IF(ISERROR(_xlpm.linha_insumo),0,IF(_xlpm.preco_uf&lt;&gt;0,_xlpm.preco_uf,IF(ISNUMBER(_xlpm.preco_regional_as),_xlpm.preco_regional_as,_xlpm.preco_sp)))),
IF(AND($A88="INSUMO",$A$8="SEM ENCARGOS SOCIAIS"),_xlfn.LET(_xlpm.linha_insumo,MATCH($B88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_xlpm.preco_regional_as,INDEX($L:$L,MATCH($B88&amp;"_"&amp;$B$8,$K:$K,0)),
IF(ISERROR(_xlpm.linha_insumo),0,IF(_xlpm.preco_uf&lt;&gt;0,_xlpm.preco_uf,IF(ISNUMBER(_xlpm.preco_regional_as),_xlpm.preco_regional_as,_xlpm.preco_sp)))),
IF(AND($A88="COMPOSICAO",$A$8="SEM DESONERAÇÃO"),_xlfn.XLOOKUP($B88,'CSD'!B:B,OFFSET('CSD'!$D:$D,0,MATCH($B$8,'CSD'!$E$4:$BF$4,0)),0),
IF(AND($A88="COMPOSICAO",$A$8="COM DESONERAÇÃO"),_xlfn.XLOOKUP($B88,'CCD'!B:B,OFFSET('CCD'!$D:$D,0,MATCH($B$8,'CCD'!$E$4:$BF$4,0)),0),
IF(AND($A88="COMPOSICAO",$A$8="SEM ENCARGOS SOCIAIS"),_xlfn.XLOOKUP($B88,'CSE'!B:B,OFFSET('CSE'!$D:$D,0,MATCH($B$8,'CSE'!$E$9:$BF$9,0)),0),""
)))))))</f>
        <v>0</v>
      </c>
      <c r="G88" s="19">
        <f>IF($A88="","",TRUNC(E88*F88,2))</f>
        <v>0</v>
      </c>
      <c r="H88" s="20" cm="1">
        <f t="array" ref="H88">IF($A88="","",
IF(AND($A88="INSUMO",$A$8="SEM DESONERAÇÃO"),_xlfn.LET(_xlpm.linha_insumo,MATCH($B88,'ISD'!$B:$B,0),_xlpm.coluna_uf,MATCH($B$8,'ISD'!$F$4:$AF$4,0),_xlpm.preco_uf,INDEX('ISD'!$F:$AF,_xlpm.linha_insumo,_xlpm.coluna_uf),IF(ISERROR(_xlpm.linha_insumo),"",IF(_xlpm.preco_uf&lt;&gt;0,0%,100%))),
IF(AND($A88="INSUMO",$A$8="COM DESONERAÇÃO"),_xlfn.LET(_xlpm.linha_insumo,MATCH($B88,'ICD'!$B:$B,0),_xlpm.coluna_uf,MATCH($B$8,'ICD'!$F$4:$AF$4,0),_xlpm.preco_uf,INDEX('ICD'!$F:$AF,_xlpm.linha_insumo,_xlpm.coluna_uf),IF(ISERROR(_xlpm.linha_insumo),"",IF(_xlpm.preco_uf&lt;&gt;0,0%,100%))),
IF(AND($A88="INSUMO",$A$8="SEM ENCARGOS SOCIAIS"),_xlfn.LET(_xlpm.linha_insumo,MATCH($B88,'ISE'!$B:$B,0),_xlpm.coluna_uf,MATCH($B$8,'ISE'!$F$10:$AF$10,0),_xlpm.preco_uf,INDEX('ISE'!$F:$AF,_xlpm.linha_insumo,_xlpm.coluna_uf),IF(ISERROR(_xlpm.linha_insumo),"",IF(_xlpm.preco_uf&lt;&gt;0,0%,100%))),
IF(AND($A88="COMPOSICAO",$A$8="SEM DESONERAÇÃO"),_xlfn.XLOOKUP($B88,'CSD'!B:B,OFFSET('CSD'!$D:$D,0,1+MATCH($B$8,'CSD'!$E$4:$BF$4,0)),0),
IF(AND($A88="COMPOSICAO",$A$8="COM DESONERAÇÃO"),_xlfn.XLOOKUP($B88,'CCD'!B:B,OFFSET('CCD'!$D:$D,0,1+MATCH($B$8,'CCD'!$E$4:$BF$4,0)),0),
IF(AND($A88="COMPOSICAO",$A$8="SEM ENCARGOS SOCIAIS"),_xlfn.XLOOKUP($B88,'CSE'!B:B,OFFSET('CSE'!$D:$D,0,1+MATCH($B$8,'CSE'!$E$9:$BF$9,0)),0),""
)))))))</f>
        <v>0</v>
      </c>
    </row>
    <row r="89" spans="6:8">
      <c r="F89" s="19" cm="1">
        <f t="array" ref="F89">IF($A89="","",
IF(AND($A89="INSUMO",$A$8="SEM DESONERAÇÃO"),_xlfn.LET(_xlpm.linha_insumo,MATCH($B89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_xlpm.preco_regional_as,INDEX($M:$M,MATCH($B89&amp;"_"&amp;$B$8,$K:$K,0)),
IF(ISERROR(_xlpm.linha_insumo),0,IF(_xlpm.preco_uf&lt;&gt;0,_xlpm.preco_uf,IF(ISNUMBER(_xlpm.preco_regional_as),_xlpm.preco_regional_as,_xlpm.preco_sp)))),
IF(AND($A89="INSUMO",$A$8="COM DESONERAÇÃO"),_xlfn.LET(_xlpm.linha_insumo,MATCH($B89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_xlpm.preco_regional_as,INDEX($N:$N,MATCH($B89&amp;"_"&amp;$B$8,$K:$K,0)),
IF(ISERROR(_xlpm.linha_insumo),0,IF(_xlpm.preco_uf&lt;&gt;0,_xlpm.preco_uf,IF(ISNUMBER(_xlpm.preco_regional_as),_xlpm.preco_regional_as,_xlpm.preco_sp)))),
IF(AND($A89="INSUMO",$A$8="SEM ENCARGOS SOCIAIS"),_xlfn.LET(_xlpm.linha_insumo,MATCH($B89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_xlpm.preco_regional_as,INDEX($L:$L,MATCH($B89&amp;"_"&amp;$B$8,$K:$K,0)),
IF(ISERROR(_xlpm.linha_insumo),0,IF(_xlpm.preco_uf&lt;&gt;0,_xlpm.preco_uf,IF(ISNUMBER(_xlpm.preco_regional_as),_xlpm.preco_regional_as,_xlpm.preco_sp)))),
IF(AND($A89="COMPOSICAO",$A$8="SEM DESONERAÇÃO"),_xlfn.XLOOKUP($B89,'CSD'!B:B,OFFSET('CSD'!$D:$D,0,MATCH($B$8,'CSD'!$E$4:$BF$4,0)),0),
IF(AND($A89="COMPOSICAO",$A$8="COM DESONERAÇÃO"),_xlfn.XLOOKUP($B89,'CCD'!B:B,OFFSET('CCD'!$D:$D,0,MATCH($B$8,'CCD'!$E$4:$BF$4,0)),0),
IF(AND($A89="COMPOSICAO",$A$8="SEM ENCARGOS SOCIAIS"),_xlfn.XLOOKUP($B89,'CSE'!B:B,OFFSET('CSE'!$D:$D,0,MATCH($B$8,'CSE'!$E$9:$BF$9,0)),0),""
)))))))</f>
        <v>0</v>
      </c>
      <c r="G89" s="19">
        <f>IF($A89="","",TRUNC(E89*F89,2))</f>
        <v>0</v>
      </c>
      <c r="H89" s="20" cm="1">
        <f t="array" ref="H89">IF($A89="","",
IF(AND($A89="INSUMO",$A$8="SEM DESONERAÇÃO"),_xlfn.LET(_xlpm.linha_insumo,MATCH($B89,'ISD'!$B:$B,0),_xlpm.coluna_uf,MATCH($B$8,'ISD'!$F$4:$AF$4,0),_xlpm.preco_uf,INDEX('ISD'!$F:$AF,_xlpm.linha_insumo,_xlpm.coluna_uf),IF(ISERROR(_xlpm.linha_insumo),"",IF(_xlpm.preco_uf&lt;&gt;0,0%,100%))),
IF(AND($A89="INSUMO",$A$8="COM DESONERAÇÃO"),_xlfn.LET(_xlpm.linha_insumo,MATCH($B89,'ICD'!$B:$B,0),_xlpm.coluna_uf,MATCH($B$8,'ICD'!$F$4:$AF$4,0),_xlpm.preco_uf,INDEX('ICD'!$F:$AF,_xlpm.linha_insumo,_xlpm.coluna_uf),IF(ISERROR(_xlpm.linha_insumo),"",IF(_xlpm.preco_uf&lt;&gt;0,0%,100%))),
IF(AND($A89="INSUMO",$A$8="SEM ENCARGOS SOCIAIS"),_xlfn.LET(_xlpm.linha_insumo,MATCH($B89,'ISE'!$B:$B,0),_xlpm.coluna_uf,MATCH($B$8,'ISE'!$F$10:$AF$10,0),_xlpm.preco_uf,INDEX('ISE'!$F:$AF,_xlpm.linha_insumo,_xlpm.coluna_uf),IF(ISERROR(_xlpm.linha_insumo),"",IF(_xlpm.preco_uf&lt;&gt;0,0%,100%))),
IF(AND($A89="COMPOSICAO",$A$8="SEM DESONERAÇÃO"),_xlfn.XLOOKUP($B89,'CSD'!B:B,OFFSET('CSD'!$D:$D,0,1+MATCH($B$8,'CSD'!$E$4:$BF$4,0)),0),
IF(AND($A89="COMPOSICAO",$A$8="COM DESONERAÇÃO"),_xlfn.XLOOKUP($B89,'CCD'!B:B,OFFSET('CCD'!$D:$D,0,1+MATCH($B$8,'CCD'!$E$4:$BF$4,0)),0),
IF(AND($A89="COMPOSICAO",$A$8="SEM ENCARGOS SOCIAIS"),_xlfn.XLOOKUP($B89,'CSE'!B:B,OFFSET('CSE'!$D:$D,0,1+MATCH($B$8,'CSE'!$E$9:$BF$9,0)),0),""
)))))))</f>
        <v>0</v>
      </c>
    </row>
    <row r="90" spans="6:8">
      <c r="F90" s="19" cm="1">
        <f t="array" ref="F90">IF($A90="","",
IF(AND($A90="INSUMO",$A$8="SEM DESONERAÇÃO"),_xlfn.LET(_xlpm.linha_insumo,MATCH($B90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_xlpm.preco_regional_as,INDEX($M:$M,MATCH($B90&amp;"_"&amp;$B$8,$K:$K,0)),
IF(ISERROR(_xlpm.linha_insumo),0,IF(_xlpm.preco_uf&lt;&gt;0,_xlpm.preco_uf,IF(ISNUMBER(_xlpm.preco_regional_as),_xlpm.preco_regional_as,_xlpm.preco_sp)))),
IF(AND($A90="INSUMO",$A$8="COM DESONERAÇÃO"),_xlfn.LET(_xlpm.linha_insumo,MATCH($B90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_xlpm.preco_regional_as,INDEX($N:$N,MATCH($B90&amp;"_"&amp;$B$8,$K:$K,0)),
IF(ISERROR(_xlpm.linha_insumo),0,IF(_xlpm.preco_uf&lt;&gt;0,_xlpm.preco_uf,IF(ISNUMBER(_xlpm.preco_regional_as),_xlpm.preco_regional_as,_xlpm.preco_sp)))),
IF(AND($A90="INSUMO",$A$8="SEM ENCARGOS SOCIAIS"),_xlfn.LET(_xlpm.linha_insumo,MATCH($B90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_xlpm.preco_regional_as,INDEX($L:$L,MATCH($B90&amp;"_"&amp;$B$8,$K:$K,0)),
IF(ISERROR(_xlpm.linha_insumo),0,IF(_xlpm.preco_uf&lt;&gt;0,_xlpm.preco_uf,IF(ISNUMBER(_xlpm.preco_regional_as),_xlpm.preco_regional_as,_xlpm.preco_sp)))),
IF(AND($A90="COMPOSICAO",$A$8="SEM DESONERAÇÃO"),_xlfn.XLOOKUP($B90,'CSD'!B:B,OFFSET('CSD'!$D:$D,0,MATCH($B$8,'CSD'!$E$4:$BF$4,0)),0),
IF(AND($A90="COMPOSICAO",$A$8="COM DESONERAÇÃO"),_xlfn.XLOOKUP($B90,'CCD'!B:B,OFFSET('CCD'!$D:$D,0,MATCH($B$8,'CCD'!$E$4:$BF$4,0)),0),
IF(AND($A90="COMPOSICAO",$A$8="SEM ENCARGOS SOCIAIS"),_xlfn.XLOOKUP($B90,'CSE'!B:B,OFFSET('CSE'!$D:$D,0,MATCH($B$8,'CSE'!$E$9:$BF$9,0)),0),""
)))))))</f>
        <v>0</v>
      </c>
      <c r="G90" s="19">
        <f>IF($A90="","",TRUNC(E90*F90,2))</f>
        <v>0</v>
      </c>
      <c r="H90" s="20" cm="1">
        <f t="array" ref="H90">IF($A90="","",
IF(AND($A90="INSUMO",$A$8="SEM DESONERAÇÃO"),_xlfn.LET(_xlpm.linha_insumo,MATCH($B90,'ISD'!$B:$B,0),_xlpm.coluna_uf,MATCH($B$8,'ISD'!$F$4:$AF$4,0),_xlpm.preco_uf,INDEX('ISD'!$F:$AF,_xlpm.linha_insumo,_xlpm.coluna_uf),IF(ISERROR(_xlpm.linha_insumo),"",IF(_xlpm.preco_uf&lt;&gt;0,0%,100%))),
IF(AND($A90="INSUMO",$A$8="COM DESONERAÇÃO"),_xlfn.LET(_xlpm.linha_insumo,MATCH($B90,'ICD'!$B:$B,0),_xlpm.coluna_uf,MATCH($B$8,'ICD'!$F$4:$AF$4,0),_xlpm.preco_uf,INDEX('ICD'!$F:$AF,_xlpm.linha_insumo,_xlpm.coluna_uf),IF(ISERROR(_xlpm.linha_insumo),"",IF(_xlpm.preco_uf&lt;&gt;0,0%,100%))),
IF(AND($A90="INSUMO",$A$8="SEM ENCARGOS SOCIAIS"),_xlfn.LET(_xlpm.linha_insumo,MATCH($B90,'ISE'!$B:$B,0),_xlpm.coluna_uf,MATCH($B$8,'ISE'!$F$10:$AF$10,0),_xlpm.preco_uf,INDEX('ISE'!$F:$AF,_xlpm.linha_insumo,_xlpm.coluna_uf),IF(ISERROR(_xlpm.linha_insumo),"",IF(_xlpm.preco_uf&lt;&gt;0,0%,100%))),
IF(AND($A90="COMPOSICAO",$A$8="SEM DESONERAÇÃO"),_xlfn.XLOOKUP($B90,'CSD'!B:B,OFFSET('CSD'!$D:$D,0,1+MATCH($B$8,'CSD'!$E$4:$BF$4,0)),0),
IF(AND($A90="COMPOSICAO",$A$8="COM DESONERAÇÃO"),_xlfn.XLOOKUP($B90,'CCD'!B:B,OFFSET('CCD'!$D:$D,0,1+MATCH($B$8,'CCD'!$E$4:$BF$4,0)),0),
IF(AND($A90="COMPOSICAO",$A$8="SEM ENCARGOS SOCIAIS"),_xlfn.XLOOKUP($B90,'CSE'!B:B,OFFSET('CSE'!$D:$D,0,1+MATCH($B$8,'CSE'!$E$9:$BF$9,0)),0),""
)))))))</f>
        <v>0</v>
      </c>
    </row>
    <row r="91" spans="6:8">
      <c r="F91" s="19" cm="1">
        <f t="array" ref="F91">IF($A91="","",
IF(AND($A91="INSUMO",$A$8="SEM DESONERAÇÃO"),_xlfn.LET(_xlpm.linha_insumo,MATCH($B91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_xlpm.preco_regional_as,INDEX($M:$M,MATCH($B91&amp;"_"&amp;$B$8,$K:$K,0)),
IF(ISERROR(_xlpm.linha_insumo),0,IF(_xlpm.preco_uf&lt;&gt;0,_xlpm.preco_uf,IF(ISNUMBER(_xlpm.preco_regional_as),_xlpm.preco_regional_as,_xlpm.preco_sp)))),
IF(AND($A91="INSUMO",$A$8="COM DESONERAÇÃO"),_xlfn.LET(_xlpm.linha_insumo,MATCH($B91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_xlpm.preco_regional_as,INDEX($N:$N,MATCH($B91&amp;"_"&amp;$B$8,$K:$K,0)),
IF(ISERROR(_xlpm.linha_insumo),0,IF(_xlpm.preco_uf&lt;&gt;0,_xlpm.preco_uf,IF(ISNUMBER(_xlpm.preco_regional_as),_xlpm.preco_regional_as,_xlpm.preco_sp)))),
IF(AND($A91="INSUMO",$A$8="SEM ENCARGOS SOCIAIS"),_xlfn.LET(_xlpm.linha_insumo,MATCH($B91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_xlpm.preco_regional_as,INDEX($L:$L,MATCH($B91&amp;"_"&amp;$B$8,$K:$K,0)),
IF(ISERROR(_xlpm.linha_insumo),0,IF(_xlpm.preco_uf&lt;&gt;0,_xlpm.preco_uf,IF(ISNUMBER(_xlpm.preco_regional_as),_xlpm.preco_regional_as,_xlpm.preco_sp)))),
IF(AND($A91="COMPOSICAO",$A$8="SEM DESONERAÇÃO"),_xlfn.XLOOKUP($B91,'CSD'!B:B,OFFSET('CSD'!$D:$D,0,MATCH($B$8,'CSD'!$E$4:$BF$4,0)),0),
IF(AND($A91="COMPOSICAO",$A$8="COM DESONERAÇÃO"),_xlfn.XLOOKUP($B91,'CCD'!B:B,OFFSET('CCD'!$D:$D,0,MATCH($B$8,'CCD'!$E$4:$BF$4,0)),0),
IF(AND($A91="COMPOSICAO",$A$8="SEM ENCARGOS SOCIAIS"),_xlfn.XLOOKUP($B91,'CSE'!B:B,OFFSET('CSE'!$D:$D,0,MATCH($B$8,'CSE'!$E$9:$BF$9,0)),0),""
)))))))</f>
        <v>0</v>
      </c>
      <c r="G91" s="19">
        <f>IF($A91="","",TRUNC(E91*F91,2))</f>
        <v>0</v>
      </c>
      <c r="H91" s="20" cm="1">
        <f t="array" ref="H91">IF($A91="","",
IF(AND($A91="INSUMO",$A$8="SEM DESONERAÇÃO"),_xlfn.LET(_xlpm.linha_insumo,MATCH($B91,'ISD'!$B:$B,0),_xlpm.coluna_uf,MATCH($B$8,'ISD'!$F$4:$AF$4,0),_xlpm.preco_uf,INDEX('ISD'!$F:$AF,_xlpm.linha_insumo,_xlpm.coluna_uf),IF(ISERROR(_xlpm.linha_insumo),"",IF(_xlpm.preco_uf&lt;&gt;0,0%,100%))),
IF(AND($A91="INSUMO",$A$8="COM DESONERAÇÃO"),_xlfn.LET(_xlpm.linha_insumo,MATCH($B91,'ICD'!$B:$B,0),_xlpm.coluna_uf,MATCH($B$8,'ICD'!$F$4:$AF$4,0),_xlpm.preco_uf,INDEX('ICD'!$F:$AF,_xlpm.linha_insumo,_xlpm.coluna_uf),IF(ISERROR(_xlpm.linha_insumo),"",IF(_xlpm.preco_uf&lt;&gt;0,0%,100%))),
IF(AND($A91="INSUMO",$A$8="SEM ENCARGOS SOCIAIS"),_xlfn.LET(_xlpm.linha_insumo,MATCH($B91,'ISE'!$B:$B,0),_xlpm.coluna_uf,MATCH($B$8,'ISE'!$F$10:$AF$10,0),_xlpm.preco_uf,INDEX('ISE'!$F:$AF,_xlpm.linha_insumo,_xlpm.coluna_uf),IF(ISERROR(_xlpm.linha_insumo),"",IF(_xlpm.preco_uf&lt;&gt;0,0%,100%))),
IF(AND($A91="COMPOSICAO",$A$8="SEM DESONERAÇÃO"),_xlfn.XLOOKUP($B91,'CSD'!B:B,OFFSET('CSD'!$D:$D,0,1+MATCH($B$8,'CSD'!$E$4:$BF$4,0)),0),
IF(AND($A91="COMPOSICAO",$A$8="COM DESONERAÇÃO"),_xlfn.XLOOKUP($B91,'CCD'!B:B,OFFSET('CCD'!$D:$D,0,1+MATCH($B$8,'CCD'!$E$4:$BF$4,0)),0),
IF(AND($A91="COMPOSICAO",$A$8="SEM ENCARGOS SOCIAIS"),_xlfn.XLOOKUP($B91,'CSE'!B:B,OFFSET('CSE'!$D:$D,0,1+MATCH($B$8,'CSE'!$E$9:$BF$9,0)),0),""
)))))))</f>
        <v>0</v>
      </c>
    </row>
    <row r="92" spans="6:8">
      <c r="F92" s="19" cm="1">
        <f t="array" ref="F92">IF($A92="","",
IF(AND($A92="INSUMO",$A$8="SEM DESONERAÇÃO"),_xlfn.LET(_xlpm.linha_insumo,MATCH($B92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_xlpm.preco_regional_as,INDEX($M:$M,MATCH($B92&amp;"_"&amp;$B$8,$K:$K,0)),
IF(ISERROR(_xlpm.linha_insumo),0,IF(_xlpm.preco_uf&lt;&gt;0,_xlpm.preco_uf,IF(ISNUMBER(_xlpm.preco_regional_as),_xlpm.preco_regional_as,_xlpm.preco_sp)))),
IF(AND($A92="INSUMO",$A$8="COM DESONERAÇÃO"),_xlfn.LET(_xlpm.linha_insumo,MATCH($B92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_xlpm.preco_regional_as,INDEX($N:$N,MATCH($B92&amp;"_"&amp;$B$8,$K:$K,0)),
IF(ISERROR(_xlpm.linha_insumo),0,IF(_xlpm.preco_uf&lt;&gt;0,_xlpm.preco_uf,IF(ISNUMBER(_xlpm.preco_regional_as),_xlpm.preco_regional_as,_xlpm.preco_sp)))),
IF(AND($A92="INSUMO",$A$8="SEM ENCARGOS SOCIAIS"),_xlfn.LET(_xlpm.linha_insumo,MATCH($B92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_xlpm.preco_regional_as,INDEX($L:$L,MATCH($B92&amp;"_"&amp;$B$8,$K:$K,0)),
IF(ISERROR(_xlpm.linha_insumo),0,IF(_xlpm.preco_uf&lt;&gt;0,_xlpm.preco_uf,IF(ISNUMBER(_xlpm.preco_regional_as),_xlpm.preco_regional_as,_xlpm.preco_sp)))),
IF(AND($A92="COMPOSICAO",$A$8="SEM DESONERAÇÃO"),_xlfn.XLOOKUP($B92,'CSD'!B:B,OFFSET('CSD'!$D:$D,0,MATCH($B$8,'CSD'!$E$4:$BF$4,0)),0),
IF(AND($A92="COMPOSICAO",$A$8="COM DESONERAÇÃO"),_xlfn.XLOOKUP($B92,'CCD'!B:B,OFFSET('CCD'!$D:$D,0,MATCH($B$8,'CCD'!$E$4:$BF$4,0)),0),
IF(AND($A92="COMPOSICAO",$A$8="SEM ENCARGOS SOCIAIS"),_xlfn.XLOOKUP($B92,'CSE'!B:B,OFFSET('CSE'!$D:$D,0,MATCH($B$8,'CSE'!$E$9:$BF$9,0)),0),""
)))))))</f>
        <v>0</v>
      </c>
      <c r="G92" s="19">
        <f>IF($A92="","",TRUNC(E92*F92,2))</f>
        <v>0</v>
      </c>
      <c r="H92" s="20" cm="1">
        <f t="array" ref="H92">IF($A92="","",
IF(AND($A92="INSUMO",$A$8="SEM DESONERAÇÃO"),_xlfn.LET(_xlpm.linha_insumo,MATCH($B92,'ISD'!$B:$B,0),_xlpm.coluna_uf,MATCH($B$8,'ISD'!$F$4:$AF$4,0),_xlpm.preco_uf,INDEX('ISD'!$F:$AF,_xlpm.linha_insumo,_xlpm.coluna_uf),IF(ISERROR(_xlpm.linha_insumo),"",IF(_xlpm.preco_uf&lt;&gt;0,0%,100%))),
IF(AND($A92="INSUMO",$A$8="COM DESONERAÇÃO"),_xlfn.LET(_xlpm.linha_insumo,MATCH($B92,'ICD'!$B:$B,0),_xlpm.coluna_uf,MATCH($B$8,'ICD'!$F$4:$AF$4,0),_xlpm.preco_uf,INDEX('ICD'!$F:$AF,_xlpm.linha_insumo,_xlpm.coluna_uf),IF(ISERROR(_xlpm.linha_insumo),"",IF(_xlpm.preco_uf&lt;&gt;0,0%,100%))),
IF(AND($A92="INSUMO",$A$8="SEM ENCARGOS SOCIAIS"),_xlfn.LET(_xlpm.linha_insumo,MATCH($B92,'ISE'!$B:$B,0),_xlpm.coluna_uf,MATCH($B$8,'ISE'!$F$10:$AF$10,0),_xlpm.preco_uf,INDEX('ISE'!$F:$AF,_xlpm.linha_insumo,_xlpm.coluna_uf),IF(ISERROR(_xlpm.linha_insumo),"",IF(_xlpm.preco_uf&lt;&gt;0,0%,100%))),
IF(AND($A92="COMPOSICAO",$A$8="SEM DESONERAÇÃO"),_xlfn.XLOOKUP($B92,'CSD'!B:B,OFFSET('CSD'!$D:$D,0,1+MATCH($B$8,'CSD'!$E$4:$BF$4,0)),0),
IF(AND($A92="COMPOSICAO",$A$8="COM DESONERAÇÃO"),_xlfn.XLOOKUP($B92,'CCD'!B:B,OFFSET('CCD'!$D:$D,0,1+MATCH($B$8,'CCD'!$E$4:$BF$4,0)),0),
IF(AND($A92="COMPOSICAO",$A$8="SEM ENCARGOS SOCIAIS"),_xlfn.XLOOKUP($B92,'CSE'!B:B,OFFSET('CSE'!$D:$D,0,1+MATCH($B$8,'CSE'!$E$9:$BF$9,0)),0),""
)))))))</f>
        <v>0</v>
      </c>
    </row>
    <row r="93" spans="6:8">
      <c r="F93" s="19" cm="1">
        <f t="array" ref="F93">IF($A93="","",
IF(AND($A93="INSUMO",$A$8="SEM DESONERAÇÃO"),_xlfn.LET(_xlpm.linha_insumo,MATCH($B93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_xlpm.preco_regional_as,INDEX($M:$M,MATCH($B93&amp;"_"&amp;$B$8,$K:$K,0)),
IF(ISERROR(_xlpm.linha_insumo),0,IF(_xlpm.preco_uf&lt;&gt;0,_xlpm.preco_uf,IF(ISNUMBER(_xlpm.preco_regional_as),_xlpm.preco_regional_as,_xlpm.preco_sp)))),
IF(AND($A93="INSUMO",$A$8="COM DESONERAÇÃO"),_xlfn.LET(_xlpm.linha_insumo,MATCH($B93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_xlpm.preco_regional_as,INDEX($N:$N,MATCH($B93&amp;"_"&amp;$B$8,$K:$K,0)),
IF(ISERROR(_xlpm.linha_insumo),0,IF(_xlpm.preco_uf&lt;&gt;0,_xlpm.preco_uf,IF(ISNUMBER(_xlpm.preco_regional_as),_xlpm.preco_regional_as,_xlpm.preco_sp)))),
IF(AND($A93="INSUMO",$A$8="SEM ENCARGOS SOCIAIS"),_xlfn.LET(_xlpm.linha_insumo,MATCH($B93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_xlpm.preco_regional_as,INDEX($L:$L,MATCH($B93&amp;"_"&amp;$B$8,$K:$K,0)),
IF(ISERROR(_xlpm.linha_insumo),0,IF(_xlpm.preco_uf&lt;&gt;0,_xlpm.preco_uf,IF(ISNUMBER(_xlpm.preco_regional_as),_xlpm.preco_regional_as,_xlpm.preco_sp)))),
IF(AND($A93="COMPOSICAO",$A$8="SEM DESONERAÇÃO"),_xlfn.XLOOKUP($B93,'CSD'!B:B,OFFSET('CSD'!$D:$D,0,MATCH($B$8,'CSD'!$E$4:$BF$4,0)),0),
IF(AND($A93="COMPOSICAO",$A$8="COM DESONERAÇÃO"),_xlfn.XLOOKUP($B93,'CCD'!B:B,OFFSET('CCD'!$D:$D,0,MATCH($B$8,'CCD'!$E$4:$BF$4,0)),0),
IF(AND($A93="COMPOSICAO",$A$8="SEM ENCARGOS SOCIAIS"),_xlfn.XLOOKUP($B93,'CSE'!B:B,OFFSET('CSE'!$D:$D,0,MATCH($B$8,'CSE'!$E$9:$BF$9,0)),0),""
)))))))</f>
        <v>0</v>
      </c>
      <c r="G93" s="19">
        <f>IF($A93="","",TRUNC(E93*F93,2))</f>
        <v>0</v>
      </c>
      <c r="H93" s="20" cm="1">
        <f t="array" ref="H93">IF($A93="","",
IF(AND($A93="INSUMO",$A$8="SEM DESONERAÇÃO"),_xlfn.LET(_xlpm.linha_insumo,MATCH($B93,'ISD'!$B:$B,0),_xlpm.coluna_uf,MATCH($B$8,'ISD'!$F$4:$AF$4,0),_xlpm.preco_uf,INDEX('ISD'!$F:$AF,_xlpm.linha_insumo,_xlpm.coluna_uf),IF(ISERROR(_xlpm.linha_insumo),"",IF(_xlpm.preco_uf&lt;&gt;0,0%,100%))),
IF(AND($A93="INSUMO",$A$8="COM DESONERAÇÃO"),_xlfn.LET(_xlpm.linha_insumo,MATCH($B93,'ICD'!$B:$B,0),_xlpm.coluna_uf,MATCH($B$8,'ICD'!$F$4:$AF$4,0),_xlpm.preco_uf,INDEX('ICD'!$F:$AF,_xlpm.linha_insumo,_xlpm.coluna_uf),IF(ISERROR(_xlpm.linha_insumo),"",IF(_xlpm.preco_uf&lt;&gt;0,0%,100%))),
IF(AND($A93="INSUMO",$A$8="SEM ENCARGOS SOCIAIS"),_xlfn.LET(_xlpm.linha_insumo,MATCH($B93,'ISE'!$B:$B,0),_xlpm.coluna_uf,MATCH($B$8,'ISE'!$F$10:$AF$10,0),_xlpm.preco_uf,INDEX('ISE'!$F:$AF,_xlpm.linha_insumo,_xlpm.coluna_uf),IF(ISERROR(_xlpm.linha_insumo),"",IF(_xlpm.preco_uf&lt;&gt;0,0%,100%))),
IF(AND($A93="COMPOSICAO",$A$8="SEM DESONERAÇÃO"),_xlfn.XLOOKUP($B93,'CSD'!B:B,OFFSET('CSD'!$D:$D,0,1+MATCH($B$8,'CSD'!$E$4:$BF$4,0)),0),
IF(AND($A93="COMPOSICAO",$A$8="COM DESONERAÇÃO"),_xlfn.XLOOKUP($B93,'CCD'!B:B,OFFSET('CCD'!$D:$D,0,1+MATCH($B$8,'CCD'!$E$4:$BF$4,0)),0),
IF(AND($A93="COMPOSICAO",$A$8="SEM ENCARGOS SOCIAIS"),_xlfn.XLOOKUP($B93,'CSE'!B:B,OFFSET('CSE'!$D:$D,0,1+MATCH($B$8,'CSE'!$E$9:$BF$9,0)),0),""
)))))))</f>
        <v>0</v>
      </c>
    </row>
    <row r="94" spans="6:8">
      <c r="F94" s="19" cm="1">
        <f t="array" ref="F94">IF($A94="","",
IF(AND($A94="INSUMO",$A$8="SEM DESONERAÇÃO"),_xlfn.LET(_xlpm.linha_insumo,MATCH($B94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_xlpm.preco_regional_as,INDEX($M:$M,MATCH($B94&amp;"_"&amp;$B$8,$K:$K,0)),
IF(ISERROR(_xlpm.linha_insumo),0,IF(_xlpm.preco_uf&lt;&gt;0,_xlpm.preco_uf,IF(ISNUMBER(_xlpm.preco_regional_as),_xlpm.preco_regional_as,_xlpm.preco_sp)))),
IF(AND($A94="INSUMO",$A$8="COM DESONERAÇÃO"),_xlfn.LET(_xlpm.linha_insumo,MATCH($B94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_xlpm.preco_regional_as,INDEX($N:$N,MATCH($B94&amp;"_"&amp;$B$8,$K:$K,0)),
IF(ISERROR(_xlpm.linha_insumo),0,IF(_xlpm.preco_uf&lt;&gt;0,_xlpm.preco_uf,IF(ISNUMBER(_xlpm.preco_regional_as),_xlpm.preco_regional_as,_xlpm.preco_sp)))),
IF(AND($A94="INSUMO",$A$8="SEM ENCARGOS SOCIAIS"),_xlfn.LET(_xlpm.linha_insumo,MATCH($B94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_xlpm.preco_regional_as,INDEX($L:$L,MATCH($B94&amp;"_"&amp;$B$8,$K:$K,0)),
IF(ISERROR(_xlpm.linha_insumo),0,IF(_xlpm.preco_uf&lt;&gt;0,_xlpm.preco_uf,IF(ISNUMBER(_xlpm.preco_regional_as),_xlpm.preco_regional_as,_xlpm.preco_sp)))),
IF(AND($A94="COMPOSICAO",$A$8="SEM DESONERAÇÃO"),_xlfn.XLOOKUP($B94,'CSD'!B:B,OFFSET('CSD'!$D:$D,0,MATCH($B$8,'CSD'!$E$4:$BF$4,0)),0),
IF(AND($A94="COMPOSICAO",$A$8="COM DESONERAÇÃO"),_xlfn.XLOOKUP($B94,'CCD'!B:B,OFFSET('CCD'!$D:$D,0,MATCH($B$8,'CCD'!$E$4:$BF$4,0)),0),
IF(AND($A94="COMPOSICAO",$A$8="SEM ENCARGOS SOCIAIS"),_xlfn.XLOOKUP($B94,'CSE'!B:B,OFFSET('CSE'!$D:$D,0,MATCH($B$8,'CSE'!$E$9:$BF$9,0)),0),""
)))))))</f>
        <v>0</v>
      </c>
      <c r="G94" s="19">
        <f>IF($A94="","",TRUNC(E94*F94,2))</f>
        <v>0</v>
      </c>
      <c r="H94" s="20" cm="1">
        <f t="array" ref="H94">IF($A94="","",
IF(AND($A94="INSUMO",$A$8="SEM DESONERAÇÃO"),_xlfn.LET(_xlpm.linha_insumo,MATCH($B94,'ISD'!$B:$B,0),_xlpm.coluna_uf,MATCH($B$8,'ISD'!$F$4:$AF$4,0),_xlpm.preco_uf,INDEX('ISD'!$F:$AF,_xlpm.linha_insumo,_xlpm.coluna_uf),IF(ISERROR(_xlpm.linha_insumo),"",IF(_xlpm.preco_uf&lt;&gt;0,0%,100%))),
IF(AND($A94="INSUMO",$A$8="COM DESONERAÇÃO"),_xlfn.LET(_xlpm.linha_insumo,MATCH($B94,'ICD'!$B:$B,0),_xlpm.coluna_uf,MATCH($B$8,'ICD'!$F$4:$AF$4,0),_xlpm.preco_uf,INDEX('ICD'!$F:$AF,_xlpm.linha_insumo,_xlpm.coluna_uf),IF(ISERROR(_xlpm.linha_insumo),"",IF(_xlpm.preco_uf&lt;&gt;0,0%,100%))),
IF(AND($A94="INSUMO",$A$8="SEM ENCARGOS SOCIAIS"),_xlfn.LET(_xlpm.linha_insumo,MATCH($B94,'ISE'!$B:$B,0),_xlpm.coluna_uf,MATCH($B$8,'ISE'!$F$10:$AF$10,0),_xlpm.preco_uf,INDEX('ISE'!$F:$AF,_xlpm.linha_insumo,_xlpm.coluna_uf),IF(ISERROR(_xlpm.linha_insumo),"",IF(_xlpm.preco_uf&lt;&gt;0,0%,100%))),
IF(AND($A94="COMPOSICAO",$A$8="SEM DESONERAÇÃO"),_xlfn.XLOOKUP($B94,'CSD'!B:B,OFFSET('CSD'!$D:$D,0,1+MATCH($B$8,'CSD'!$E$4:$BF$4,0)),0),
IF(AND($A94="COMPOSICAO",$A$8="COM DESONERAÇÃO"),_xlfn.XLOOKUP($B94,'CCD'!B:B,OFFSET('CCD'!$D:$D,0,1+MATCH($B$8,'CCD'!$E$4:$BF$4,0)),0),
IF(AND($A94="COMPOSICAO",$A$8="SEM ENCARGOS SOCIAIS"),_xlfn.XLOOKUP($B94,'CSE'!B:B,OFFSET('CSE'!$D:$D,0,1+MATCH($B$8,'CSE'!$E$9:$BF$9,0)),0),""
)))))))</f>
        <v>0</v>
      </c>
    </row>
    <row r="95" spans="6:8">
      <c r="F95" s="19" cm="1">
        <f t="array" ref="F95">IF($A95="","",
IF(AND($A95="INSUMO",$A$8="SEM DESONERAÇÃO"),_xlfn.LET(_xlpm.linha_insumo,MATCH($B95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_xlpm.preco_regional_as,INDEX($M:$M,MATCH($B95&amp;"_"&amp;$B$8,$K:$K,0)),
IF(ISERROR(_xlpm.linha_insumo),0,IF(_xlpm.preco_uf&lt;&gt;0,_xlpm.preco_uf,IF(ISNUMBER(_xlpm.preco_regional_as),_xlpm.preco_regional_as,_xlpm.preco_sp)))),
IF(AND($A95="INSUMO",$A$8="COM DESONERAÇÃO"),_xlfn.LET(_xlpm.linha_insumo,MATCH($B95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_xlpm.preco_regional_as,INDEX($N:$N,MATCH($B95&amp;"_"&amp;$B$8,$K:$K,0)),
IF(ISERROR(_xlpm.linha_insumo),0,IF(_xlpm.preco_uf&lt;&gt;0,_xlpm.preco_uf,IF(ISNUMBER(_xlpm.preco_regional_as),_xlpm.preco_regional_as,_xlpm.preco_sp)))),
IF(AND($A95="INSUMO",$A$8="SEM ENCARGOS SOCIAIS"),_xlfn.LET(_xlpm.linha_insumo,MATCH($B95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_xlpm.preco_regional_as,INDEX($L:$L,MATCH($B95&amp;"_"&amp;$B$8,$K:$K,0)),
IF(ISERROR(_xlpm.linha_insumo),0,IF(_xlpm.preco_uf&lt;&gt;0,_xlpm.preco_uf,IF(ISNUMBER(_xlpm.preco_regional_as),_xlpm.preco_regional_as,_xlpm.preco_sp)))),
IF(AND($A95="COMPOSICAO",$A$8="SEM DESONERAÇÃO"),_xlfn.XLOOKUP($B95,'CSD'!B:B,OFFSET('CSD'!$D:$D,0,MATCH($B$8,'CSD'!$E$4:$BF$4,0)),0),
IF(AND($A95="COMPOSICAO",$A$8="COM DESONERAÇÃO"),_xlfn.XLOOKUP($B95,'CCD'!B:B,OFFSET('CCD'!$D:$D,0,MATCH($B$8,'CCD'!$E$4:$BF$4,0)),0),
IF(AND($A95="COMPOSICAO",$A$8="SEM ENCARGOS SOCIAIS"),_xlfn.XLOOKUP($B95,'CSE'!B:B,OFFSET('CSE'!$D:$D,0,MATCH($B$8,'CSE'!$E$9:$BF$9,0)),0),""
)))))))</f>
        <v>0</v>
      </c>
      <c r="G95" s="19">
        <f>IF($A95="","",TRUNC(E95*F95,2))</f>
        <v>0</v>
      </c>
      <c r="H95" s="20" cm="1">
        <f t="array" ref="H95">IF($A95="","",
IF(AND($A95="INSUMO",$A$8="SEM DESONERAÇÃO"),_xlfn.LET(_xlpm.linha_insumo,MATCH($B95,'ISD'!$B:$B,0),_xlpm.coluna_uf,MATCH($B$8,'ISD'!$F$4:$AF$4,0),_xlpm.preco_uf,INDEX('ISD'!$F:$AF,_xlpm.linha_insumo,_xlpm.coluna_uf),IF(ISERROR(_xlpm.linha_insumo),"",IF(_xlpm.preco_uf&lt;&gt;0,0%,100%))),
IF(AND($A95="INSUMO",$A$8="COM DESONERAÇÃO"),_xlfn.LET(_xlpm.linha_insumo,MATCH($B95,'ICD'!$B:$B,0),_xlpm.coluna_uf,MATCH($B$8,'ICD'!$F$4:$AF$4,0),_xlpm.preco_uf,INDEX('ICD'!$F:$AF,_xlpm.linha_insumo,_xlpm.coluna_uf),IF(ISERROR(_xlpm.linha_insumo),"",IF(_xlpm.preco_uf&lt;&gt;0,0%,100%))),
IF(AND($A95="INSUMO",$A$8="SEM ENCARGOS SOCIAIS"),_xlfn.LET(_xlpm.linha_insumo,MATCH($B95,'ISE'!$B:$B,0),_xlpm.coluna_uf,MATCH($B$8,'ISE'!$F$10:$AF$10,0),_xlpm.preco_uf,INDEX('ISE'!$F:$AF,_xlpm.linha_insumo,_xlpm.coluna_uf),IF(ISERROR(_xlpm.linha_insumo),"",IF(_xlpm.preco_uf&lt;&gt;0,0%,100%))),
IF(AND($A95="COMPOSICAO",$A$8="SEM DESONERAÇÃO"),_xlfn.XLOOKUP($B95,'CSD'!B:B,OFFSET('CSD'!$D:$D,0,1+MATCH($B$8,'CSD'!$E$4:$BF$4,0)),0),
IF(AND($A95="COMPOSICAO",$A$8="COM DESONERAÇÃO"),_xlfn.XLOOKUP($B95,'CCD'!B:B,OFFSET('CCD'!$D:$D,0,1+MATCH($B$8,'CCD'!$E$4:$BF$4,0)),0),
IF(AND($A95="COMPOSICAO",$A$8="SEM ENCARGOS SOCIAIS"),_xlfn.XLOOKUP($B95,'CSE'!B:B,OFFSET('CSE'!$D:$D,0,1+MATCH($B$8,'CSE'!$E$9:$BF$9,0)),0),""
)))))))</f>
        <v>0</v>
      </c>
    </row>
    <row r="96" spans="6:8">
      <c r="F96" s="19" cm="1">
        <f t="array" ref="F96">IF($A96="","",
IF(AND($A96="INSUMO",$A$8="SEM DESONERAÇÃO"),_xlfn.LET(_xlpm.linha_insumo,MATCH($B96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_xlpm.preco_regional_as,INDEX($M:$M,MATCH($B96&amp;"_"&amp;$B$8,$K:$K,0)),
IF(ISERROR(_xlpm.linha_insumo),0,IF(_xlpm.preco_uf&lt;&gt;0,_xlpm.preco_uf,IF(ISNUMBER(_xlpm.preco_regional_as),_xlpm.preco_regional_as,_xlpm.preco_sp)))),
IF(AND($A96="INSUMO",$A$8="COM DESONERAÇÃO"),_xlfn.LET(_xlpm.linha_insumo,MATCH($B96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_xlpm.preco_regional_as,INDEX($N:$N,MATCH($B96&amp;"_"&amp;$B$8,$K:$K,0)),
IF(ISERROR(_xlpm.linha_insumo),0,IF(_xlpm.preco_uf&lt;&gt;0,_xlpm.preco_uf,IF(ISNUMBER(_xlpm.preco_regional_as),_xlpm.preco_regional_as,_xlpm.preco_sp)))),
IF(AND($A96="INSUMO",$A$8="SEM ENCARGOS SOCIAIS"),_xlfn.LET(_xlpm.linha_insumo,MATCH($B96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_xlpm.preco_regional_as,INDEX($L:$L,MATCH($B96&amp;"_"&amp;$B$8,$K:$K,0)),
IF(ISERROR(_xlpm.linha_insumo),0,IF(_xlpm.preco_uf&lt;&gt;0,_xlpm.preco_uf,IF(ISNUMBER(_xlpm.preco_regional_as),_xlpm.preco_regional_as,_xlpm.preco_sp)))),
IF(AND($A96="COMPOSICAO",$A$8="SEM DESONERAÇÃO"),_xlfn.XLOOKUP($B96,'CSD'!B:B,OFFSET('CSD'!$D:$D,0,MATCH($B$8,'CSD'!$E$4:$BF$4,0)),0),
IF(AND($A96="COMPOSICAO",$A$8="COM DESONERAÇÃO"),_xlfn.XLOOKUP($B96,'CCD'!B:B,OFFSET('CCD'!$D:$D,0,MATCH($B$8,'CCD'!$E$4:$BF$4,0)),0),
IF(AND($A96="COMPOSICAO",$A$8="SEM ENCARGOS SOCIAIS"),_xlfn.XLOOKUP($B96,'CSE'!B:B,OFFSET('CSE'!$D:$D,0,MATCH($B$8,'CSE'!$E$9:$BF$9,0)),0),""
)))))))</f>
        <v>0</v>
      </c>
      <c r="G96" s="19">
        <f>IF($A96="","",TRUNC(E96*F96,2))</f>
        <v>0</v>
      </c>
      <c r="H96" s="20" cm="1">
        <f t="array" ref="H96">IF($A96="","",
IF(AND($A96="INSUMO",$A$8="SEM DESONERAÇÃO"),_xlfn.LET(_xlpm.linha_insumo,MATCH($B96,'ISD'!$B:$B,0),_xlpm.coluna_uf,MATCH($B$8,'ISD'!$F$4:$AF$4,0),_xlpm.preco_uf,INDEX('ISD'!$F:$AF,_xlpm.linha_insumo,_xlpm.coluna_uf),IF(ISERROR(_xlpm.linha_insumo),"",IF(_xlpm.preco_uf&lt;&gt;0,0%,100%))),
IF(AND($A96="INSUMO",$A$8="COM DESONERAÇÃO"),_xlfn.LET(_xlpm.linha_insumo,MATCH($B96,'ICD'!$B:$B,0),_xlpm.coluna_uf,MATCH($B$8,'ICD'!$F$4:$AF$4,0),_xlpm.preco_uf,INDEX('ICD'!$F:$AF,_xlpm.linha_insumo,_xlpm.coluna_uf),IF(ISERROR(_xlpm.linha_insumo),"",IF(_xlpm.preco_uf&lt;&gt;0,0%,100%))),
IF(AND($A96="INSUMO",$A$8="SEM ENCARGOS SOCIAIS"),_xlfn.LET(_xlpm.linha_insumo,MATCH($B96,'ISE'!$B:$B,0),_xlpm.coluna_uf,MATCH($B$8,'ISE'!$F$10:$AF$10,0),_xlpm.preco_uf,INDEX('ISE'!$F:$AF,_xlpm.linha_insumo,_xlpm.coluna_uf),IF(ISERROR(_xlpm.linha_insumo),"",IF(_xlpm.preco_uf&lt;&gt;0,0%,100%))),
IF(AND($A96="COMPOSICAO",$A$8="SEM DESONERAÇÃO"),_xlfn.XLOOKUP($B96,'CSD'!B:B,OFFSET('CSD'!$D:$D,0,1+MATCH($B$8,'CSD'!$E$4:$BF$4,0)),0),
IF(AND($A96="COMPOSICAO",$A$8="COM DESONERAÇÃO"),_xlfn.XLOOKUP($B96,'CCD'!B:B,OFFSET('CCD'!$D:$D,0,1+MATCH($B$8,'CCD'!$E$4:$BF$4,0)),0),
IF(AND($A96="COMPOSICAO",$A$8="SEM ENCARGOS SOCIAIS"),_xlfn.XLOOKUP($B96,'CSE'!B:B,OFFSET('CSE'!$D:$D,0,1+MATCH($B$8,'CSE'!$E$9:$BF$9,0)),0),""
)))))))</f>
        <v>0</v>
      </c>
    </row>
    <row r="97" spans="6:8">
      <c r="F97" s="19" cm="1">
        <f t="array" ref="F97">IF($A97="","",
IF(AND($A97="INSUMO",$A$8="SEM DESONERAÇÃO"),_xlfn.LET(_xlpm.linha_insumo,MATCH($B97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_xlpm.preco_regional_as,INDEX($M:$M,MATCH($B97&amp;"_"&amp;$B$8,$K:$K,0)),
IF(ISERROR(_xlpm.linha_insumo),0,IF(_xlpm.preco_uf&lt;&gt;0,_xlpm.preco_uf,IF(ISNUMBER(_xlpm.preco_regional_as),_xlpm.preco_regional_as,_xlpm.preco_sp)))),
IF(AND($A97="INSUMO",$A$8="COM DESONERAÇÃO"),_xlfn.LET(_xlpm.linha_insumo,MATCH($B97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_xlpm.preco_regional_as,INDEX($N:$N,MATCH($B97&amp;"_"&amp;$B$8,$K:$K,0)),
IF(ISERROR(_xlpm.linha_insumo),0,IF(_xlpm.preco_uf&lt;&gt;0,_xlpm.preco_uf,IF(ISNUMBER(_xlpm.preco_regional_as),_xlpm.preco_regional_as,_xlpm.preco_sp)))),
IF(AND($A97="INSUMO",$A$8="SEM ENCARGOS SOCIAIS"),_xlfn.LET(_xlpm.linha_insumo,MATCH($B97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_xlpm.preco_regional_as,INDEX($L:$L,MATCH($B97&amp;"_"&amp;$B$8,$K:$K,0)),
IF(ISERROR(_xlpm.linha_insumo),0,IF(_xlpm.preco_uf&lt;&gt;0,_xlpm.preco_uf,IF(ISNUMBER(_xlpm.preco_regional_as),_xlpm.preco_regional_as,_xlpm.preco_sp)))),
IF(AND($A97="COMPOSICAO",$A$8="SEM DESONERAÇÃO"),_xlfn.XLOOKUP($B97,'CSD'!B:B,OFFSET('CSD'!$D:$D,0,MATCH($B$8,'CSD'!$E$4:$BF$4,0)),0),
IF(AND($A97="COMPOSICAO",$A$8="COM DESONERAÇÃO"),_xlfn.XLOOKUP($B97,'CCD'!B:B,OFFSET('CCD'!$D:$D,0,MATCH($B$8,'CCD'!$E$4:$BF$4,0)),0),
IF(AND($A97="COMPOSICAO",$A$8="SEM ENCARGOS SOCIAIS"),_xlfn.XLOOKUP($B97,'CSE'!B:B,OFFSET('CSE'!$D:$D,0,MATCH($B$8,'CSE'!$E$9:$BF$9,0)),0),""
)))))))</f>
        <v>0</v>
      </c>
      <c r="G97" s="19">
        <f>IF($A97="","",TRUNC(E97*F97,2))</f>
        <v>0</v>
      </c>
      <c r="H97" s="20" cm="1">
        <f t="array" ref="H97">IF($A97="","",
IF(AND($A97="INSUMO",$A$8="SEM DESONERAÇÃO"),_xlfn.LET(_xlpm.linha_insumo,MATCH($B97,'ISD'!$B:$B,0),_xlpm.coluna_uf,MATCH($B$8,'ISD'!$F$4:$AF$4,0),_xlpm.preco_uf,INDEX('ISD'!$F:$AF,_xlpm.linha_insumo,_xlpm.coluna_uf),IF(ISERROR(_xlpm.linha_insumo),"",IF(_xlpm.preco_uf&lt;&gt;0,0%,100%))),
IF(AND($A97="INSUMO",$A$8="COM DESONERAÇÃO"),_xlfn.LET(_xlpm.linha_insumo,MATCH($B97,'ICD'!$B:$B,0),_xlpm.coluna_uf,MATCH($B$8,'ICD'!$F$4:$AF$4,0),_xlpm.preco_uf,INDEX('ICD'!$F:$AF,_xlpm.linha_insumo,_xlpm.coluna_uf),IF(ISERROR(_xlpm.linha_insumo),"",IF(_xlpm.preco_uf&lt;&gt;0,0%,100%))),
IF(AND($A97="INSUMO",$A$8="SEM ENCARGOS SOCIAIS"),_xlfn.LET(_xlpm.linha_insumo,MATCH($B97,'ISE'!$B:$B,0),_xlpm.coluna_uf,MATCH($B$8,'ISE'!$F$10:$AF$10,0),_xlpm.preco_uf,INDEX('ISE'!$F:$AF,_xlpm.linha_insumo,_xlpm.coluna_uf),IF(ISERROR(_xlpm.linha_insumo),"",IF(_xlpm.preco_uf&lt;&gt;0,0%,100%))),
IF(AND($A97="COMPOSICAO",$A$8="SEM DESONERAÇÃO"),_xlfn.XLOOKUP($B97,'CSD'!B:B,OFFSET('CSD'!$D:$D,0,1+MATCH($B$8,'CSD'!$E$4:$BF$4,0)),0),
IF(AND($A97="COMPOSICAO",$A$8="COM DESONERAÇÃO"),_xlfn.XLOOKUP($B97,'CCD'!B:B,OFFSET('CCD'!$D:$D,0,1+MATCH($B$8,'CCD'!$E$4:$BF$4,0)),0),
IF(AND($A97="COMPOSICAO",$A$8="SEM ENCARGOS SOCIAIS"),_xlfn.XLOOKUP($B97,'CSE'!B:B,OFFSET('CSE'!$D:$D,0,1+MATCH($B$8,'CSE'!$E$9:$BF$9,0)),0),""
)))))))</f>
        <v>0</v>
      </c>
    </row>
    <row r="98" spans="6:8">
      <c r="F98" s="19" cm="1">
        <f t="array" ref="F98">IF($A98="","",
IF(AND($A98="INSUMO",$A$8="SEM DESONERAÇÃO"),_xlfn.LET(_xlpm.linha_insumo,MATCH($B98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_xlpm.preco_regional_as,INDEX($M:$M,MATCH($B98&amp;"_"&amp;$B$8,$K:$K,0)),
IF(ISERROR(_xlpm.linha_insumo),0,IF(_xlpm.preco_uf&lt;&gt;0,_xlpm.preco_uf,IF(ISNUMBER(_xlpm.preco_regional_as),_xlpm.preco_regional_as,_xlpm.preco_sp)))),
IF(AND($A98="INSUMO",$A$8="COM DESONERAÇÃO"),_xlfn.LET(_xlpm.linha_insumo,MATCH($B98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_xlpm.preco_regional_as,INDEX($N:$N,MATCH($B98&amp;"_"&amp;$B$8,$K:$K,0)),
IF(ISERROR(_xlpm.linha_insumo),0,IF(_xlpm.preco_uf&lt;&gt;0,_xlpm.preco_uf,IF(ISNUMBER(_xlpm.preco_regional_as),_xlpm.preco_regional_as,_xlpm.preco_sp)))),
IF(AND($A98="INSUMO",$A$8="SEM ENCARGOS SOCIAIS"),_xlfn.LET(_xlpm.linha_insumo,MATCH($B98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_xlpm.preco_regional_as,INDEX($L:$L,MATCH($B98&amp;"_"&amp;$B$8,$K:$K,0)),
IF(ISERROR(_xlpm.linha_insumo),0,IF(_xlpm.preco_uf&lt;&gt;0,_xlpm.preco_uf,IF(ISNUMBER(_xlpm.preco_regional_as),_xlpm.preco_regional_as,_xlpm.preco_sp)))),
IF(AND($A98="COMPOSICAO",$A$8="SEM DESONERAÇÃO"),_xlfn.XLOOKUP($B98,'CSD'!B:B,OFFSET('CSD'!$D:$D,0,MATCH($B$8,'CSD'!$E$4:$BF$4,0)),0),
IF(AND($A98="COMPOSICAO",$A$8="COM DESONERAÇÃO"),_xlfn.XLOOKUP($B98,'CCD'!B:B,OFFSET('CCD'!$D:$D,0,MATCH($B$8,'CCD'!$E$4:$BF$4,0)),0),
IF(AND($A98="COMPOSICAO",$A$8="SEM ENCARGOS SOCIAIS"),_xlfn.XLOOKUP($B98,'CSE'!B:B,OFFSET('CSE'!$D:$D,0,MATCH($B$8,'CSE'!$E$9:$BF$9,0)),0),""
)))))))</f>
        <v>0</v>
      </c>
      <c r="G98" s="19">
        <f>IF($A98="","",TRUNC(E98*F98,2))</f>
        <v>0</v>
      </c>
      <c r="H98" s="20" cm="1">
        <f t="array" ref="H98">IF($A98="","",
IF(AND($A98="INSUMO",$A$8="SEM DESONERAÇÃO"),_xlfn.LET(_xlpm.linha_insumo,MATCH($B98,'ISD'!$B:$B,0),_xlpm.coluna_uf,MATCH($B$8,'ISD'!$F$4:$AF$4,0),_xlpm.preco_uf,INDEX('ISD'!$F:$AF,_xlpm.linha_insumo,_xlpm.coluna_uf),IF(ISERROR(_xlpm.linha_insumo),"",IF(_xlpm.preco_uf&lt;&gt;0,0%,100%))),
IF(AND($A98="INSUMO",$A$8="COM DESONERAÇÃO"),_xlfn.LET(_xlpm.linha_insumo,MATCH($B98,'ICD'!$B:$B,0),_xlpm.coluna_uf,MATCH($B$8,'ICD'!$F$4:$AF$4,0),_xlpm.preco_uf,INDEX('ICD'!$F:$AF,_xlpm.linha_insumo,_xlpm.coluna_uf),IF(ISERROR(_xlpm.linha_insumo),"",IF(_xlpm.preco_uf&lt;&gt;0,0%,100%))),
IF(AND($A98="INSUMO",$A$8="SEM ENCARGOS SOCIAIS"),_xlfn.LET(_xlpm.linha_insumo,MATCH($B98,'ISE'!$B:$B,0),_xlpm.coluna_uf,MATCH($B$8,'ISE'!$F$10:$AF$10,0),_xlpm.preco_uf,INDEX('ISE'!$F:$AF,_xlpm.linha_insumo,_xlpm.coluna_uf),IF(ISERROR(_xlpm.linha_insumo),"",IF(_xlpm.preco_uf&lt;&gt;0,0%,100%))),
IF(AND($A98="COMPOSICAO",$A$8="SEM DESONERAÇÃO"),_xlfn.XLOOKUP($B98,'CSD'!B:B,OFFSET('CSD'!$D:$D,0,1+MATCH($B$8,'CSD'!$E$4:$BF$4,0)),0),
IF(AND($A98="COMPOSICAO",$A$8="COM DESONERAÇÃO"),_xlfn.XLOOKUP($B98,'CCD'!B:B,OFFSET('CCD'!$D:$D,0,1+MATCH($B$8,'CCD'!$E$4:$BF$4,0)),0),
IF(AND($A98="COMPOSICAO",$A$8="SEM ENCARGOS SOCIAIS"),_xlfn.XLOOKUP($B98,'CSE'!B:B,OFFSET('CSE'!$D:$D,0,1+MATCH($B$8,'CSE'!$E$9:$BF$9,0)),0),""
)))))))</f>
        <v>0</v>
      </c>
    </row>
    <row r="99" spans="6:8">
      <c r="F99" s="19" cm="1">
        <f t="array" ref="F99">IF($A99="","",
IF(AND($A99="INSUMO",$A$8="SEM DESONERAÇÃO"),_xlfn.LET(_xlpm.linha_insumo,MATCH($B99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_xlpm.preco_regional_as,INDEX($M:$M,MATCH($B99&amp;"_"&amp;$B$8,$K:$K,0)),
IF(ISERROR(_xlpm.linha_insumo),0,IF(_xlpm.preco_uf&lt;&gt;0,_xlpm.preco_uf,IF(ISNUMBER(_xlpm.preco_regional_as),_xlpm.preco_regional_as,_xlpm.preco_sp)))),
IF(AND($A99="INSUMO",$A$8="COM DESONERAÇÃO"),_xlfn.LET(_xlpm.linha_insumo,MATCH($B99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_xlpm.preco_regional_as,INDEX($N:$N,MATCH($B99&amp;"_"&amp;$B$8,$K:$K,0)),
IF(ISERROR(_xlpm.linha_insumo),0,IF(_xlpm.preco_uf&lt;&gt;0,_xlpm.preco_uf,IF(ISNUMBER(_xlpm.preco_regional_as),_xlpm.preco_regional_as,_xlpm.preco_sp)))),
IF(AND($A99="INSUMO",$A$8="SEM ENCARGOS SOCIAIS"),_xlfn.LET(_xlpm.linha_insumo,MATCH($B99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_xlpm.preco_regional_as,INDEX($L:$L,MATCH($B99&amp;"_"&amp;$B$8,$K:$K,0)),
IF(ISERROR(_xlpm.linha_insumo),0,IF(_xlpm.preco_uf&lt;&gt;0,_xlpm.preco_uf,IF(ISNUMBER(_xlpm.preco_regional_as),_xlpm.preco_regional_as,_xlpm.preco_sp)))),
IF(AND($A99="COMPOSICAO",$A$8="SEM DESONERAÇÃO"),_xlfn.XLOOKUP($B99,'CSD'!B:B,OFFSET('CSD'!$D:$D,0,MATCH($B$8,'CSD'!$E$4:$BF$4,0)),0),
IF(AND($A99="COMPOSICAO",$A$8="COM DESONERAÇÃO"),_xlfn.XLOOKUP($B99,'CCD'!B:B,OFFSET('CCD'!$D:$D,0,MATCH($B$8,'CCD'!$E$4:$BF$4,0)),0),
IF(AND($A99="COMPOSICAO",$A$8="SEM ENCARGOS SOCIAIS"),_xlfn.XLOOKUP($B99,'CSE'!B:B,OFFSET('CSE'!$D:$D,0,MATCH($B$8,'CSE'!$E$9:$BF$9,0)),0),""
)))))))</f>
        <v>0</v>
      </c>
      <c r="G99" s="19">
        <f>IF($A99="","",TRUNC(E99*F99,2))</f>
        <v>0</v>
      </c>
      <c r="H99" s="20" cm="1">
        <f t="array" ref="H99">IF($A99="","",
IF(AND($A99="INSUMO",$A$8="SEM DESONERAÇÃO"),_xlfn.LET(_xlpm.linha_insumo,MATCH($B99,'ISD'!$B:$B,0),_xlpm.coluna_uf,MATCH($B$8,'ISD'!$F$4:$AF$4,0),_xlpm.preco_uf,INDEX('ISD'!$F:$AF,_xlpm.linha_insumo,_xlpm.coluna_uf),IF(ISERROR(_xlpm.linha_insumo),"",IF(_xlpm.preco_uf&lt;&gt;0,0%,100%))),
IF(AND($A99="INSUMO",$A$8="COM DESONERAÇÃO"),_xlfn.LET(_xlpm.linha_insumo,MATCH($B99,'ICD'!$B:$B,0),_xlpm.coluna_uf,MATCH($B$8,'ICD'!$F$4:$AF$4,0),_xlpm.preco_uf,INDEX('ICD'!$F:$AF,_xlpm.linha_insumo,_xlpm.coluna_uf),IF(ISERROR(_xlpm.linha_insumo),"",IF(_xlpm.preco_uf&lt;&gt;0,0%,100%))),
IF(AND($A99="INSUMO",$A$8="SEM ENCARGOS SOCIAIS"),_xlfn.LET(_xlpm.linha_insumo,MATCH($B99,'ISE'!$B:$B,0),_xlpm.coluna_uf,MATCH($B$8,'ISE'!$F$10:$AF$10,0),_xlpm.preco_uf,INDEX('ISE'!$F:$AF,_xlpm.linha_insumo,_xlpm.coluna_uf),IF(ISERROR(_xlpm.linha_insumo),"",IF(_xlpm.preco_uf&lt;&gt;0,0%,100%))),
IF(AND($A99="COMPOSICAO",$A$8="SEM DESONERAÇÃO"),_xlfn.XLOOKUP($B99,'CSD'!B:B,OFFSET('CSD'!$D:$D,0,1+MATCH($B$8,'CSD'!$E$4:$BF$4,0)),0),
IF(AND($A99="COMPOSICAO",$A$8="COM DESONERAÇÃO"),_xlfn.XLOOKUP($B99,'CCD'!B:B,OFFSET('CCD'!$D:$D,0,1+MATCH($B$8,'CCD'!$E$4:$BF$4,0)),0),
IF(AND($A99="COMPOSICAO",$A$8="SEM ENCARGOS SOCIAIS"),_xlfn.XLOOKUP($B99,'CSE'!B:B,OFFSET('CSE'!$D:$D,0,1+MATCH($B$8,'CSE'!$E$9:$BF$9,0)),0),""
)))))))</f>
        <v>0</v>
      </c>
    </row>
    <row r="100" spans="6:8">
      <c r="F100" s="19" cm="1">
        <f t="array" ref="F100">IF($A100="","",
IF(AND($A100="INSUMO",$A$8="SEM DESONERAÇÃO"),_xlfn.LET(_xlpm.linha_insumo,MATCH($B100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_xlpm.preco_regional_as,INDEX($M:$M,MATCH($B100&amp;"_"&amp;$B$8,$K:$K,0)),
IF(ISERROR(_xlpm.linha_insumo),0,IF(_xlpm.preco_uf&lt;&gt;0,_xlpm.preco_uf,IF(ISNUMBER(_xlpm.preco_regional_as),_xlpm.preco_regional_as,_xlpm.preco_sp)))),
IF(AND($A100="INSUMO",$A$8="COM DESONERAÇÃO"),_xlfn.LET(_xlpm.linha_insumo,MATCH($B100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_xlpm.preco_regional_as,INDEX($N:$N,MATCH($B100&amp;"_"&amp;$B$8,$K:$K,0)),
IF(ISERROR(_xlpm.linha_insumo),0,IF(_xlpm.preco_uf&lt;&gt;0,_xlpm.preco_uf,IF(ISNUMBER(_xlpm.preco_regional_as),_xlpm.preco_regional_as,_xlpm.preco_sp)))),
IF(AND($A100="INSUMO",$A$8="SEM ENCARGOS SOCIAIS"),_xlfn.LET(_xlpm.linha_insumo,MATCH($B100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_xlpm.preco_regional_as,INDEX($L:$L,MATCH($B100&amp;"_"&amp;$B$8,$K:$K,0)),
IF(ISERROR(_xlpm.linha_insumo),0,IF(_xlpm.preco_uf&lt;&gt;0,_xlpm.preco_uf,IF(ISNUMBER(_xlpm.preco_regional_as),_xlpm.preco_regional_as,_xlpm.preco_sp)))),
IF(AND($A100="COMPOSICAO",$A$8="SEM DESONERAÇÃO"),_xlfn.XLOOKUP($B100,'CSD'!B:B,OFFSET('CSD'!$D:$D,0,MATCH($B$8,'CSD'!$E$4:$BF$4,0)),0),
IF(AND($A100="COMPOSICAO",$A$8="COM DESONERAÇÃO"),_xlfn.XLOOKUP($B100,'CCD'!B:B,OFFSET('CCD'!$D:$D,0,MATCH($B$8,'CCD'!$E$4:$BF$4,0)),0),
IF(AND($A100="COMPOSICAO",$A$8="SEM ENCARGOS SOCIAIS"),_xlfn.XLOOKUP($B100,'CSE'!B:B,OFFSET('CSE'!$D:$D,0,MATCH($B$8,'CSE'!$E$9:$BF$9,0)),0),""
)))))))</f>
        <v>0</v>
      </c>
      <c r="G100" s="19">
        <f>IF($A100="","",TRUNC(E100*F100,2))</f>
        <v>0</v>
      </c>
      <c r="H100" s="20" cm="1">
        <f t="array" ref="H100">IF($A100="","",
IF(AND($A100="INSUMO",$A$8="SEM DESONERAÇÃO"),_xlfn.LET(_xlpm.linha_insumo,MATCH($B100,'ISD'!$B:$B,0),_xlpm.coluna_uf,MATCH($B$8,'ISD'!$F$4:$AF$4,0),_xlpm.preco_uf,INDEX('ISD'!$F:$AF,_xlpm.linha_insumo,_xlpm.coluna_uf),IF(ISERROR(_xlpm.linha_insumo),"",IF(_xlpm.preco_uf&lt;&gt;0,0%,100%))),
IF(AND($A100="INSUMO",$A$8="COM DESONERAÇÃO"),_xlfn.LET(_xlpm.linha_insumo,MATCH($B100,'ICD'!$B:$B,0),_xlpm.coluna_uf,MATCH($B$8,'ICD'!$F$4:$AF$4,0),_xlpm.preco_uf,INDEX('ICD'!$F:$AF,_xlpm.linha_insumo,_xlpm.coluna_uf),IF(ISERROR(_xlpm.linha_insumo),"",IF(_xlpm.preco_uf&lt;&gt;0,0%,100%))),
IF(AND($A100="INSUMO",$A$8="SEM ENCARGOS SOCIAIS"),_xlfn.LET(_xlpm.linha_insumo,MATCH($B100,'ISE'!$B:$B,0),_xlpm.coluna_uf,MATCH($B$8,'ISE'!$F$10:$AF$10,0),_xlpm.preco_uf,INDEX('ISE'!$F:$AF,_xlpm.linha_insumo,_xlpm.coluna_uf),IF(ISERROR(_xlpm.linha_insumo),"",IF(_xlpm.preco_uf&lt;&gt;0,0%,100%))),
IF(AND($A100="COMPOSICAO",$A$8="SEM DESONERAÇÃO"),_xlfn.XLOOKUP($B100,'CSD'!B:B,OFFSET('CSD'!$D:$D,0,1+MATCH($B$8,'CSD'!$E$4:$BF$4,0)),0),
IF(AND($A100="COMPOSICAO",$A$8="COM DESONERAÇÃO"),_xlfn.XLOOKUP($B100,'CCD'!B:B,OFFSET('CCD'!$D:$D,0,1+MATCH($B$8,'CCD'!$E$4:$BF$4,0)),0),
IF(AND($A100="COMPOSICAO",$A$8="SEM ENCARGOS SOCIAIS"),_xlfn.XLOOKUP($B100,'CSE'!B:B,OFFSET('CSE'!$D:$D,0,1+MATCH($B$8,'CSE'!$E$9:$BF$9,0)),0),""
)))))))</f>
        <v>0</v>
      </c>
    </row>
    <row r="101" spans="6:8">
      <c r="F101" s="19" cm="1">
        <f t="array" ref="F101">IF($A101="","",
IF(AND($A101="INSUMO",$A$8="SEM DESONERAÇÃO"),_xlfn.LET(_xlpm.linha_insumo,MATCH($B101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_xlpm.preco_regional_as,INDEX($M:$M,MATCH($B101&amp;"_"&amp;$B$8,$K:$K,0)),
IF(ISERROR(_xlpm.linha_insumo),0,IF(_xlpm.preco_uf&lt;&gt;0,_xlpm.preco_uf,IF(ISNUMBER(_xlpm.preco_regional_as),_xlpm.preco_regional_as,_xlpm.preco_sp)))),
IF(AND($A101="INSUMO",$A$8="COM DESONERAÇÃO"),_xlfn.LET(_xlpm.linha_insumo,MATCH($B101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_xlpm.preco_regional_as,INDEX($N:$N,MATCH($B101&amp;"_"&amp;$B$8,$K:$K,0)),
IF(ISERROR(_xlpm.linha_insumo),0,IF(_xlpm.preco_uf&lt;&gt;0,_xlpm.preco_uf,IF(ISNUMBER(_xlpm.preco_regional_as),_xlpm.preco_regional_as,_xlpm.preco_sp)))),
IF(AND($A101="INSUMO",$A$8="SEM ENCARGOS SOCIAIS"),_xlfn.LET(_xlpm.linha_insumo,MATCH($B101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_xlpm.preco_regional_as,INDEX($L:$L,MATCH($B101&amp;"_"&amp;$B$8,$K:$K,0)),
IF(ISERROR(_xlpm.linha_insumo),0,IF(_xlpm.preco_uf&lt;&gt;0,_xlpm.preco_uf,IF(ISNUMBER(_xlpm.preco_regional_as),_xlpm.preco_regional_as,_xlpm.preco_sp)))),
IF(AND($A101="COMPOSICAO",$A$8="SEM DESONERAÇÃO"),_xlfn.XLOOKUP($B101,'CSD'!B:B,OFFSET('CSD'!$D:$D,0,MATCH($B$8,'CSD'!$E$4:$BF$4,0)),0),
IF(AND($A101="COMPOSICAO",$A$8="COM DESONERAÇÃO"),_xlfn.XLOOKUP($B101,'CCD'!B:B,OFFSET('CCD'!$D:$D,0,MATCH($B$8,'CCD'!$E$4:$BF$4,0)),0),
IF(AND($A101="COMPOSICAO",$A$8="SEM ENCARGOS SOCIAIS"),_xlfn.XLOOKUP($B101,'CSE'!B:B,OFFSET('CSE'!$D:$D,0,MATCH($B$8,'CSE'!$E$9:$BF$9,0)),0),""
)))))))</f>
        <v>0</v>
      </c>
      <c r="G101" s="19">
        <f>IF($A101="","",TRUNC(E101*F101,2))</f>
        <v>0</v>
      </c>
      <c r="H101" s="20" cm="1">
        <f t="array" ref="H101">IF($A101="","",
IF(AND($A101="INSUMO",$A$8="SEM DESONERAÇÃO"),_xlfn.LET(_xlpm.linha_insumo,MATCH($B101,'ISD'!$B:$B,0),_xlpm.coluna_uf,MATCH($B$8,'ISD'!$F$4:$AF$4,0),_xlpm.preco_uf,INDEX('ISD'!$F:$AF,_xlpm.linha_insumo,_xlpm.coluna_uf),IF(ISERROR(_xlpm.linha_insumo),"",IF(_xlpm.preco_uf&lt;&gt;0,0%,100%))),
IF(AND($A101="INSUMO",$A$8="COM DESONERAÇÃO"),_xlfn.LET(_xlpm.linha_insumo,MATCH($B101,'ICD'!$B:$B,0),_xlpm.coluna_uf,MATCH($B$8,'ICD'!$F$4:$AF$4,0),_xlpm.preco_uf,INDEX('ICD'!$F:$AF,_xlpm.linha_insumo,_xlpm.coluna_uf),IF(ISERROR(_xlpm.linha_insumo),"",IF(_xlpm.preco_uf&lt;&gt;0,0%,100%))),
IF(AND($A101="INSUMO",$A$8="SEM ENCARGOS SOCIAIS"),_xlfn.LET(_xlpm.linha_insumo,MATCH($B101,'ISE'!$B:$B,0),_xlpm.coluna_uf,MATCH($B$8,'ISE'!$F$10:$AF$10,0),_xlpm.preco_uf,INDEX('ISE'!$F:$AF,_xlpm.linha_insumo,_xlpm.coluna_uf),IF(ISERROR(_xlpm.linha_insumo),"",IF(_xlpm.preco_uf&lt;&gt;0,0%,100%))),
IF(AND($A101="COMPOSICAO",$A$8="SEM DESONERAÇÃO"),_xlfn.XLOOKUP($B101,'CSD'!B:B,OFFSET('CSD'!$D:$D,0,1+MATCH($B$8,'CSD'!$E$4:$BF$4,0)),0),
IF(AND($A101="COMPOSICAO",$A$8="COM DESONERAÇÃO"),_xlfn.XLOOKUP($B101,'CCD'!B:B,OFFSET('CCD'!$D:$D,0,1+MATCH($B$8,'CCD'!$E$4:$BF$4,0)),0),
IF(AND($A101="COMPOSICAO",$A$8="SEM ENCARGOS SOCIAIS"),_xlfn.XLOOKUP($B101,'CSE'!B:B,OFFSET('CSE'!$D:$D,0,1+MATCH($B$8,'CSE'!$E$9:$BF$9,0)),0),""
)))))))</f>
        <v>0</v>
      </c>
    </row>
    <row r="102" spans="6:8">
      <c r="F102" s="19" cm="1">
        <f t="array" ref="F102">IF($A102="","",
IF(AND($A102="INSUMO",$A$8="SEM DESONERAÇÃO"),_xlfn.LET(_xlpm.linha_insumo,MATCH($B102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_xlpm.preco_regional_as,INDEX($M:$M,MATCH($B102&amp;"_"&amp;$B$8,$K:$K,0)),
IF(ISERROR(_xlpm.linha_insumo),0,IF(_xlpm.preco_uf&lt;&gt;0,_xlpm.preco_uf,IF(ISNUMBER(_xlpm.preco_regional_as),_xlpm.preco_regional_as,_xlpm.preco_sp)))),
IF(AND($A102="INSUMO",$A$8="COM DESONERAÇÃO"),_xlfn.LET(_xlpm.linha_insumo,MATCH($B102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_xlpm.preco_regional_as,INDEX($N:$N,MATCH($B102&amp;"_"&amp;$B$8,$K:$K,0)),
IF(ISERROR(_xlpm.linha_insumo),0,IF(_xlpm.preco_uf&lt;&gt;0,_xlpm.preco_uf,IF(ISNUMBER(_xlpm.preco_regional_as),_xlpm.preco_regional_as,_xlpm.preco_sp)))),
IF(AND($A102="INSUMO",$A$8="SEM ENCARGOS SOCIAIS"),_xlfn.LET(_xlpm.linha_insumo,MATCH($B102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_xlpm.preco_regional_as,INDEX($L:$L,MATCH($B102&amp;"_"&amp;$B$8,$K:$K,0)),
IF(ISERROR(_xlpm.linha_insumo),0,IF(_xlpm.preco_uf&lt;&gt;0,_xlpm.preco_uf,IF(ISNUMBER(_xlpm.preco_regional_as),_xlpm.preco_regional_as,_xlpm.preco_sp)))),
IF(AND($A102="COMPOSICAO",$A$8="SEM DESONERAÇÃO"),_xlfn.XLOOKUP($B102,'CSD'!B:B,OFFSET('CSD'!$D:$D,0,MATCH($B$8,'CSD'!$E$4:$BF$4,0)),0),
IF(AND($A102="COMPOSICAO",$A$8="COM DESONERAÇÃO"),_xlfn.XLOOKUP($B102,'CCD'!B:B,OFFSET('CCD'!$D:$D,0,MATCH($B$8,'CCD'!$E$4:$BF$4,0)),0),
IF(AND($A102="COMPOSICAO",$A$8="SEM ENCARGOS SOCIAIS"),_xlfn.XLOOKUP($B102,'CSE'!B:B,OFFSET('CSE'!$D:$D,0,MATCH($B$8,'CSE'!$E$9:$BF$9,0)),0),""
)))))))</f>
        <v>0</v>
      </c>
      <c r="G102" s="19">
        <f>IF($A102="","",TRUNC(E102*F102,2))</f>
        <v>0</v>
      </c>
      <c r="H102" s="20" cm="1">
        <f t="array" ref="H102">IF($A102="","",
IF(AND($A102="INSUMO",$A$8="SEM DESONERAÇÃO"),_xlfn.LET(_xlpm.linha_insumo,MATCH($B102,'ISD'!$B:$B,0),_xlpm.coluna_uf,MATCH($B$8,'ISD'!$F$4:$AF$4,0),_xlpm.preco_uf,INDEX('ISD'!$F:$AF,_xlpm.linha_insumo,_xlpm.coluna_uf),IF(ISERROR(_xlpm.linha_insumo),"",IF(_xlpm.preco_uf&lt;&gt;0,0%,100%))),
IF(AND($A102="INSUMO",$A$8="COM DESONERAÇÃO"),_xlfn.LET(_xlpm.linha_insumo,MATCH($B102,'ICD'!$B:$B,0),_xlpm.coluna_uf,MATCH($B$8,'ICD'!$F$4:$AF$4,0),_xlpm.preco_uf,INDEX('ICD'!$F:$AF,_xlpm.linha_insumo,_xlpm.coluna_uf),IF(ISERROR(_xlpm.linha_insumo),"",IF(_xlpm.preco_uf&lt;&gt;0,0%,100%))),
IF(AND($A102="INSUMO",$A$8="SEM ENCARGOS SOCIAIS"),_xlfn.LET(_xlpm.linha_insumo,MATCH($B102,'ISE'!$B:$B,0),_xlpm.coluna_uf,MATCH($B$8,'ISE'!$F$10:$AF$10,0),_xlpm.preco_uf,INDEX('ISE'!$F:$AF,_xlpm.linha_insumo,_xlpm.coluna_uf),IF(ISERROR(_xlpm.linha_insumo),"",IF(_xlpm.preco_uf&lt;&gt;0,0%,100%))),
IF(AND($A102="COMPOSICAO",$A$8="SEM DESONERAÇÃO"),_xlfn.XLOOKUP($B102,'CSD'!B:B,OFFSET('CSD'!$D:$D,0,1+MATCH($B$8,'CSD'!$E$4:$BF$4,0)),0),
IF(AND($A102="COMPOSICAO",$A$8="COM DESONERAÇÃO"),_xlfn.XLOOKUP($B102,'CCD'!B:B,OFFSET('CCD'!$D:$D,0,1+MATCH($B$8,'CCD'!$E$4:$BF$4,0)),0),
IF(AND($A102="COMPOSICAO",$A$8="SEM ENCARGOS SOCIAIS"),_xlfn.XLOOKUP($B102,'CSE'!B:B,OFFSET('CSE'!$D:$D,0,1+MATCH($B$8,'CSE'!$E$9:$BF$9,0)),0),""
)))))))</f>
        <v>0</v>
      </c>
    </row>
    <row r="103" spans="6:8">
      <c r="F103" s="19" cm="1">
        <f t="array" ref="F103">IF($A103="","",
IF(AND($A103="INSUMO",$A$8="SEM DESONERAÇÃO"),_xlfn.LET(_xlpm.linha_insumo,MATCH($B103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_xlpm.preco_regional_as,INDEX($M:$M,MATCH($B103&amp;"_"&amp;$B$8,$K:$K,0)),
IF(ISERROR(_xlpm.linha_insumo),0,IF(_xlpm.preco_uf&lt;&gt;0,_xlpm.preco_uf,IF(ISNUMBER(_xlpm.preco_regional_as),_xlpm.preco_regional_as,_xlpm.preco_sp)))),
IF(AND($A103="INSUMO",$A$8="COM DESONERAÇÃO"),_xlfn.LET(_xlpm.linha_insumo,MATCH($B103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_xlpm.preco_regional_as,INDEX($N:$N,MATCH($B103&amp;"_"&amp;$B$8,$K:$K,0)),
IF(ISERROR(_xlpm.linha_insumo),0,IF(_xlpm.preco_uf&lt;&gt;0,_xlpm.preco_uf,IF(ISNUMBER(_xlpm.preco_regional_as),_xlpm.preco_regional_as,_xlpm.preco_sp)))),
IF(AND($A103="INSUMO",$A$8="SEM ENCARGOS SOCIAIS"),_xlfn.LET(_xlpm.linha_insumo,MATCH($B103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_xlpm.preco_regional_as,INDEX($L:$L,MATCH($B103&amp;"_"&amp;$B$8,$K:$K,0)),
IF(ISERROR(_xlpm.linha_insumo),0,IF(_xlpm.preco_uf&lt;&gt;0,_xlpm.preco_uf,IF(ISNUMBER(_xlpm.preco_regional_as),_xlpm.preco_regional_as,_xlpm.preco_sp)))),
IF(AND($A103="COMPOSICAO",$A$8="SEM DESONERAÇÃO"),_xlfn.XLOOKUP($B103,'CSD'!B:B,OFFSET('CSD'!$D:$D,0,MATCH($B$8,'CSD'!$E$4:$BF$4,0)),0),
IF(AND($A103="COMPOSICAO",$A$8="COM DESONERAÇÃO"),_xlfn.XLOOKUP($B103,'CCD'!B:B,OFFSET('CCD'!$D:$D,0,MATCH($B$8,'CCD'!$E$4:$BF$4,0)),0),
IF(AND($A103="COMPOSICAO",$A$8="SEM ENCARGOS SOCIAIS"),_xlfn.XLOOKUP($B103,'CSE'!B:B,OFFSET('CSE'!$D:$D,0,MATCH($B$8,'CSE'!$E$9:$BF$9,0)),0),""
)))))))</f>
        <v>0</v>
      </c>
      <c r="G103" s="19">
        <f>IF($A103="","",TRUNC(E103*F103,2))</f>
        <v>0</v>
      </c>
      <c r="H103" s="20" cm="1">
        <f t="array" ref="H103">IF($A103="","",
IF(AND($A103="INSUMO",$A$8="SEM DESONERAÇÃO"),_xlfn.LET(_xlpm.linha_insumo,MATCH($B103,'ISD'!$B:$B,0),_xlpm.coluna_uf,MATCH($B$8,'ISD'!$F$4:$AF$4,0),_xlpm.preco_uf,INDEX('ISD'!$F:$AF,_xlpm.linha_insumo,_xlpm.coluna_uf),IF(ISERROR(_xlpm.linha_insumo),"",IF(_xlpm.preco_uf&lt;&gt;0,0%,100%))),
IF(AND($A103="INSUMO",$A$8="COM DESONERAÇÃO"),_xlfn.LET(_xlpm.linha_insumo,MATCH($B103,'ICD'!$B:$B,0),_xlpm.coluna_uf,MATCH($B$8,'ICD'!$F$4:$AF$4,0),_xlpm.preco_uf,INDEX('ICD'!$F:$AF,_xlpm.linha_insumo,_xlpm.coluna_uf),IF(ISERROR(_xlpm.linha_insumo),"",IF(_xlpm.preco_uf&lt;&gt;0,0%,100%))),
IF(AND($A103="INSUMO",$A$8="SEM ENCARGOS SOCIAIS"),_xlfn.LET(_xlpm.linha_insumo,MATCH($B103,'ISE'!$B:$B,0),_xlpm.coluna_uf,MATCH($B$8,'ISE'!$F$10:$AF$10,0),_xlpm.preco_uf,INDEX('ISE'!$F:$AF,_xlpm.linha_insumo,_xlpm.coluna_uf),IF(ISERROR(_xlpm.linha_insumo),"",IF(_xlpm.preco_uf&lt;&gt;0,0%,100%))),
IF(AND($A103="COMPOSICAO",$A$8="SEM DESONERAÇÃO"),_xlfn.XLOOKUP($B103,'CSD'!B:B,OFFSET('CSD'!$D:$D,0,1+MATCH($B$8,'CSD'!$E$4:$BF$4,0)),0),
IF(AND($A103="COMPOSICAO",$A$8="COM DESONERAÇÃO"),_xlfn.XLOOKUP($B103,'CCD'!B:B,OFFSET('CCD'!$D:$D,0,1+MATCH($B$8,'CCD'!$E$4:$BF$4,0)),0),
IF(AND($A103="COMPOSICAO",$A$8="SEM ENCARGOS SOCIAIS"),_xlfn.XLOOKUP($B103,'CSE'!B:B,OFFSET('CSE'!$D:$D,0,1+MATCH($B$8,'CSE'!$E$9:$BF$9,0)),0),""
)))))))</f>
        <v>0</v>
      </c>
    </row>
    <row r="104" spans="6:8">
      <c r="F104" s="19" cm="1">
        <f t="array" ref="F104">IF($A104="","",
IF(AND($A104="INSUMO",$A$8="SEM DESONERAÇÃO"),_xlfn.LET(_xlpm.linha_insumo,MATCH($B104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_xlpm.preco_regional_as,INDEX($M:$M,MATCH($B104&amp;"_"&amp;$B$8,$K:$K,0)),
IF(ISERROR(_xlpm.linha_insumo),0,IF(_xlpm.preco_uf&lt;&gt;0,_xlpm.preco_uf,IF(ISNUMBER(_xlpm.preco_regional_as),_xlpm.preco_regional_as,_xlpm.preco_sp)))),
IF(AND($A104="INSUMO",$A$8="COM DESONERAÇÃO"),_xlfn.LET(_xlpm.linha_insumo,MATCH($B104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_xlpm.preco_regional_as,INDEX($N:$N,MATCH($B104&amp;"_"&amp;$B$8,$K:$K,0)),
IF(ISERROR(_xlpm.linha_insumo),0,IF(_xlpm.preco_uf&lt;&gt;0,_xlpm.preco_uf,IF(ISNUMBER(_xlpm.preco_regional_as),_xlpm.preco_regional_as,_xlpm.preco_sp)))),
IF(AND($A104="INSUMO",$A$8="SEM ENCARGOS SOCIAIS"),_xlfn.LET(_xlpm.linha_insumo,MATCH($B104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_xlpm.preco_regional_as,INDEX($L:$L,MATCH($B104&amp;"_"&amp;$B$8,$K:$K,0)),
IF(ISERROR(_xlpm.linha_insumo),0,IF(_xlpm.preco_uf&lt;&gt;0,_xlpm.preco_uf,IF(ISNUMBER(_xlpm.preco_regional_as),_xlpm.preco_regional_as,_xlpm.preco_sp)))),
IF(AND($A104="COMPOSICAO",$A$8="SEM DESONERAÇÃO"),_xlfn.XLOOKUP($B104,'CSD'!B:B,OFFSET('CSD'!$D:$D,0,MATCH($B$8,'CSD'!$E$4:$BF$4,0)),0),
IF(AND($A104="COMPOSICAO",$A$8="COM DESONERAÇÃO"),_xlfn.XLOOKUP($B104,'CCD'!B:B,OFFSET('CCD'!$D:$D,0,MATCH($B$8,'CCD'!$E$4:$BF$4,0)),0),
IF(AND($A104="COMPOSICAO",$A$8="SEM ENCARGOS SOCIAIS"),_xlfn.XLOOKUP($B104,'CSE'!B:B,OFFSET('CSE'!$D:$D,0,MATCH($B$8,'CSE'!$E$9:$BF$9,0)),0),""
)))))))</f>
        <v>0</v>
      </c>
      <c r="G104" s="19">
        <f>IF($A104="","",TRUNC(E104*F104,2))</f>
        <v>0</v>
      </c>
      <c r="H104" s="20" cm="1">
        <f t="array" ref="H104">IF($A104="","",
IF(AND($A104="INSUMO",$A$8="SEM DESONERAÇÃO"),_xlfn.LET(_xlpm.linha_insumo,MATCH($B104,'ISD'!$B:$B,0),_xlpm.coluna_uf,MATCH($B$8,'ISD'!$F$4:$AF$4,0),_xlpm.preco_uf,INDEX('ISD'!$F:$AF,_xlpm.linha_insumo,_xlpm.coluna_uf),IF(ISERROR(_xlpm.linha_insumo),"",IF(_xlpm.preco_uf&lt;&gt;0,0%,100%))),
IF(AND($A104="INSUMO",$A$8="COM DESONERAÇÃO"),_xlfn.LET(_xlpm.linha_insumo,MATCH($B104,'ICD'!$B:$B,0),_xlpm.coluna_uf,MATCH($B$8,'ICD'!$F$4:$AF$4,0),_xlpm.preco_uf,INDEX('ICD'!$F:$AF,_xlpm.linha_insumo,_xlpm.coluna_uf),IF(ISERROR(_xlpm.linha_insumo),"",IF(_xlpm.preco_uf&lt;&gt;0,0%,100%))),
IF(AND($A104="INSUMO",$A$8="SEM ENCARGOS SOCIAIS"),_xlfn.LET(_xlpm.linha_insumo,MATCH($B104,'ISE'!$B:$B,0),_xlpm.coluna_uf,MATCH($B$8,'ISE'!$F$10:$AF$10,0),_xlpm.preco_uf,INDEX('ISE'!$F:$AF,_xlpm.linha_insumo,_xlpm.coluna_uf),IF(ISERROR(_xlpm.linha_insumo),"",IF(_xlpm.preco_uf&lt;&gt;0,0%,100%))),
IF(AND($A104="COMPOSICAO",$A$8="SEM DESONERAÇÃO"),_xlfn.XLOOKUP($B104,'CSD'!B:B,OFFSET('CSD'!$D:$D,0,1+MATCH($B$8,'CSD'!$E$4:$BF$4,0)),0),
IF(AND($A104="COMPOSICAO",$A$8="COM DESONERAÇÃO"),_xlfn.XLOOKUP($B104,'CCD'!B:B,OFFSET('CCD'!$D:$D,0,1+MATCH($B$8,'CCD'!$E$4:$BF$4,0)),0),
IF(AND($A104="COMPOSICAO",$A$8="SEM ENCARGOS SOCIAIS"),_xlfn.XLOOKUP($B104,'CSE'!B:B,OFFSET('CSE'!$D:$D,0,1+MATCH($B$8,'CSE'!$E$9:$BF$9,0)),0),""
)))))))</f>
        <v>0</v>
      </c>
    </row>
    <row r="105" spans="6:8">
      <c r="F105" s="19" cm="1">
        <f t="array" ref="F105">IF($A105="","",
IF(AND($A105="INSUMO",$A$8="SEM DESONERAÇÃO"),_xlfn.LET(_xlpm.linha_insumo,MATCH($B105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_xlpm.preco_regional_as,INDEX($M:$M,MATCH($B105&amp;"_"&amp;$B$8,$K:$K,0)),
IF(ISERROR(_xlpm.linha_insumo),0,IF(_xlpm.preco_uf&lt;&gt;0,_xlpm.preco_uf,IF(ISNUMBER(_xlpm.preco_regional_as),_xlpm.preco_regional_as,_xlpm.preco_sp)))),
IF(AND($A105="INSUMO",$A$8="COM DESONERAÇÃO"),_xlfn.LET(_xlpm.linha_insumo,MATCH($B105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_xlpm.preco_regional_as,INDEX($N:$N,MATCH($B105&amp;"_"&amp;$B$8,$K:$K,0)),
IF(ISERROR(_xlpm.linha_insumo),0,IF(_xlpm.preco_uf&lt;&gt;0,_xlpm.preco_uf,IF(ISNUMBER(_xlpm.preco_regional_as),_xlpm.preco_regional_as,_xlpm.preco_sp)))),
IF(AND($A105="INSUMO",$A$8="SEM ENCARGOS SOCIAIS"),_xlfn.LET(_xlpm.linha_insumo,MATCH($B105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_xlpm.preco_regional_as,INDEX($L:$L,MATCH($B105&amp;"_"&amp;$B$8,$K:$K,0)),
IF(ISERROR(_xlpm.linha_insumo),0,IF(_xlpm.preco_uf&lt;&gt;0,_xlpm.preco_uf,IF(ISNUMBER(_xlpm.preco_regional_as),_xlpm.preco_regional_as,_xlpm.preco_sp)))),
IF(AND($A105="COMPOSICAO",$A$8="SEM DESONERAÇÃO"),_xlfn.XLOOKUP($B105,'CSD'!B:B,OFFSET('CSD'!$D:$D,0,MATCH($B$8,'CSD'!$E$4:$BF$4,0)),0),
IF(AND($A105="COMPOSICAO",$A$8="COM DESONERAÇÃO"),_xlfn.XLOOKUP($B105,'CCD'!B:B,OFFSET('CCD'!$D:$D,0,MATCH($B$8,'CCD'!$E$4:$BF$4,0)),0),
IF(AND($A105="COMPOSICAO",$A$8="SEM ENCARGOS SOCIAIS"),_xlfn.XLOOKUP($B105,'CSE'!B:B,OFFSET('CSE'!$D:$D,0,MATCH($B$8,'CSE'!$E$9:$BF$9,0)),0),""
)))))))</f>
        <v>0</v>
      </c>
      <c r="G105" s="19">
        <f>IF($A105="","",TRUNC(E105*F105,2))</f>
        <v>0</v>
      </c>
      <c r="H105" s="20" cm="1">
        <f t="array" ref="H105">IF($A105="","",
IF(AND($A105="INSUMO",$A$8="SEM DESONERAÇÃO"),_xlfn.LET(_xlpm.linha_insumo,MATCH($B105,'ISD'!$B:$B,0),_xlpm.coluna_uf,MATCH($B$8,'ISD'!$F$4:$AF$4,0),_xlpm.preco_uf,INDEX('ISD'!$F:$AF,_xlpm.linha_insumo,_xlpm.coluna_uf),IF(ISERROR(_xlpm.linha_insumo),"",IF(_xlpm.preco_uf&lt;&gt;0,0%,100%))),
IF(AND($A105="INSUMO",$A$8="COM DESONERAÇÃO"),_xlfn.LET(_xlpm.linha_insumo,MATCH($B105,'ICD'!$B:$B,0),_xlpm.coluna_uf,MATCH($B$8,'ICD'!$F$4:$AF$4,0),_xlpm.preco_uf,INDEX('ICD'!$F:$AF,_xlpm.linha_insumo,_xlpm.coluna_uf),IF(ISERROR(_xlpm.linha_insumo),"",IF(_xlpm.preco_uf&lt;&gt;0,0%,100%))),
IF(AND($A105="INSUMO",$A$8="SEM ENCARGOS SOCIAIS"),_xlfn.LET(_xlpm.linha_insumo,MATCH($B105,'ISE'!$B:$B,0),_xlpm.coluna_uf,MATCH($B$8,'ISE'!$F$10:$AF$10,0),_xlpm.preco_uf,INDEX('ISE'!$F:$AF,_xlpm.linha_insumo,_xlpm.coluna_uf),IF(ISERROR(_xlpm.linha_insumo),"",IF(_xlpm.preco_uf&lt;&gt;0,0%,100%))),
IF(AND($A105="COMPOSICAO",$A$8="SEM DESONERAÇÃO"),_xlfn.XLOOKUP($B105,'CSD'!B:B,OFFSET('CSD'!$D:$D,0,1+MATCH($B$8,'CSD'!$E$4:$BF$4,0)),0),
IF(AND($A105="COMPOSICAO",$A$8="COM DESONERAÇÃO"),_xlfn.XLOOKUP($B105,'CCD'!B:B,OFFSET('CCD'!$D:$D,0,1+MATCH($B$8,'CCD'!$E$4:$BF$4,0)),0),
IF(AND($A105="COMPOSICAO",$A$8="SEM ENCARGOS SOCIAIS"),_xlfn.XLOOKUP($B105,'CSE'!B:B,OFFSET('CSE'!$D:$D,0,1+MATCH($B$8,'CSE'!$E$9:$BF$9,0)),0),""
)))))))</f>
        <v>0</v>
      </c>
    </row>
    <row r="106" spans="6:8">
      <c r="F106" s="19" cm="1">
        <f t="array" ref="F106">IF($A106="","",
IF(AND($A106="INSUMO",$A$8="SEM DESONERAÇÃO"),_xlfn.LET(_xlpm.linha_insumo,MATCH($B106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_xlpm.preco_regional_as,INDEX($M:$M,MATCH($B106&amp;"_"&amp;$B$8,$K:$K,0)),
IF(ISERROR(_xlpm.linha_insumo),0,IF(_xlpm.preco_uf&lt;&gt;0,_xlpm.preco_uf,IF(ISNUMBER(_xlpm.preco_regional_as),_xlpm.preco_regional_as,_xlpm.preco_sp)))),
IF(AND($A106="INSUMO",$A$8="COM DESONERAÇÃO"),_xlfn.LET(_xlpm.linha_insumo,MATCH($B106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_xlpm.preco_regional_as,INDEX($N:$N,MATCH($B106&amp;"_"&amp;$B$8,$K:$K,0)),
IF(ISERROR(_xlpm.linha_insumo),0,IF(_xlpm.preco_uf&lt;&gt;0,_xlpm.preco_uf,IF(ISNUMBER(_xlpm.preco_regional_as),_xlpm.preco_regional_as,_xlpm.preco_sp)))),
IF(AND($A106="INSUMO",$A$8="SEM ENCARGOS SOCIAIS"),_xlfn.LET(_xlpm.linha_insumo,MATCH($B106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_xlpm.preco_regional_as,INDEX($L:$L,MATCH($B106&amp;"_"&amp;$B$8,$K:$K,0)),
IF(ISERROR(_xlpm.linha_insumo),0,IF(_xlpm.preco_uf&lt;&gt;0,_xlpm.preco_uf,IF(ISNUMBER(_xlpm.preco_regional_as),_xlpm.preco_regional_as,_xlpm.preco_sp)))),
IF(AND($A106="COMPOSICAO",$A$8="SEM DESONERAÇÃO"),_xlfn.XLOOKUP($B106,'CSD'!B:B,OFFSET('CSD'!$D:$D,0,MATCH($B$8,'CSD'!$E$4:$BF$4,0)),0),
IF(AND($A106="COMPOSICAO",$A$8="COM DESONERAÇÃO"),_xlfn.XLOOKUP($B106,'CCD'!B:B,OFFSET('CCD'!$D:$D,0,MATCH($B$8,'CCD'!$E$4:$BF$4,0)),0),
IF(AND($A106="COMPOSICAO",$A$8="SEM ENCARGOS SOCIAIS"),_xlfn.XLOOKUP($B106,'CSE'!B:B,OFFSET('CSE'!$D:$D,0,MATCH($B$8,'CSE'!$E$9:$BF$9,0)),0),""
)))))))</f>
        <v>0</v>
      </c>
      <c r="G106" s="19">
        <f>IF($A106="","",TRUNC(E106*F106,2))</f>
        <v>0</v>
      </c>
      <c r="H106" s="20" cm="1">
        <f t="array" ref="H106">IF($A106="","",
IF(AND($A106="INSUMO",$A$8="SEM DESONERAÇÃO"),_xlfn.LET(_xlpm.linha_insumo,MATCH($B106,'ISD'!$B:$B,0),_xlpm.coluna_uf,MATCH($B$8,'ISD'!$F$4:$AF$4,0),_xlpm.preco_uf,INDEX('ISD'!$F:$AF,_xlpm.linha_insumo,_xlpm.coluna_uf),IF(ISERROR(_xlpm.linha_insumo),"",IF(_xlpm.preco_uf&lt;&gt;0,0%,100%))),
IF(AND($A106="INSUMO",$A$8="COM DESONERAÇÃO"),_xlfn.LET(_xlpm.linha_insumo,MATCH($B106,'ICD'!$B:$B,0),_xlpm.coluna_uf,MATCH($B$8,'ICD'!$F$4:$AF$4,0),_xlpm.preco_uf,INDEX('ICD'!$F:$AF,_xlpm.linha_insumo,_xlpm.coluna_uf),IF(ISERROR(_xlpm.linha_insumo),"",IF(_xlpm.preco_uf&lt;&gt;0,0%,100%))),
IF(AND($A106="INSUMO",$A$8="SEM ENCARGOS SOCIAIS"),_xlfn.LET(_xlpm.linha_insumo,MATCH($B106,'ISE'!$B:$B,0),_xlpm.coluna_uf,MATCH($B$8,'ISE'!$F$10:$AF$10,0),_xlpm.preco_uf,INDEX('ISE'!$F:$AF,_xlpm.linha_insumo,_xlpm.coluna_uf),IF(ISERROR(_xlpm.linha_insumo),"",IF(_xlpm.preco_uf&lt;&gt;0,0%,100%))),
IF(AND($A106="COMPOSICAO",$A$8="SEM DESONERAÇÃO"),_xlfn.XLOOKUP($B106,'CSD'!B:B,OFFSET('CSD'!$D:$D,0,1+MATCH($B$8,'CSD'!$E$4:$BF$4,0)),0),
IF(AND($A106="COMPOSICAO",$A$8="COM DESONERAÇÃO"),_xlfn.XLOOKUP($B106,'CCD'!B:B,OFFSET('CCD'!$D:$D,0,1+MATCH($B$8,'CCD'!$E$4:$BF$4,0)),0),
IF(AND($A106="COMPOSICAO",$A$8="SEM ENCARGOS SOCIAIS"),_xlfn.XLOOKUP($B106,'CSE'!B:B,OFFSET('CSE'!$D:$D,0,1+MATCH($B$8,'CSE'!$E$9:$BF$9,0)),0),""
)))))))</f>
        <v>0</v>
      </c>
    </row>
    <row r="107" spans="6:8">
      <c r="F107" s="19" cm="1">
        <f t="array" ref="F107">IF($A107="","",
IF(AND($A107="INSUMO",$A$8="SEM DESONERAÇÃO"),_xlfn.LET(_xlpm.linha_insumo,MATCH($B107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_xlpm.preco_regional_as,INDEX($M:$M,MATCH($B107&amp;"_"&amp;$B$8,$K:$K,0)),
IF(ISERROR(_xlpm.linha_insumo),0,IF(_xlpm.preco_uf&lt;&gt;0,_xlpm.preco_uf,IF(ISNUMBER(_xlpm.preco_regional_as),_xlpm.preco_regional_as,_xlpm.preco_sp)))),
IF(AND($A107="INSUMO",$A$8="COM DESONERAÇÃO"),_xlfn.LET(_xlpm.linha_insumo,MATCH($B107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_xlpm.preco_regional_as,INDEX($N:$N,MATCH($B107&amp;"_"&amp;$B$8,$K:$K,0)),
IF(ISERROR(_xlpm.linha_insumo),0,IF(_xlpm.preco_uf&lt;&gt;0,_xlpm.preco_uf,IF(ISNUMBER(_xlpm.preco_regional_as),_xlpm.preco_regional_as,_xlpm.preco_sp)))),
IF(AND($A107="INSUMO",$A$8="SEM ENCARGOS SOCIAIS"),_xlfn.LET(_xlpm.linha_insumo,MATCH($B107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_xlpm.preco_regional_as,INDEX($L:$L,MATCH($B107&amp;"_"&amp;$B$8,$K:$K,0)),
IF(ISERROR(_xlpm.linha_insumo),0,IF(_xlpm.preco_uf&lt;&gt;0,_xlpm.preco_uf,IF(ISNUMBER(_xlpm.preco_regional_as),_xlpm.preco_regional_as,_xlpm.preco_sp)))),
IF(AND($A107="COMPOSICAO",$A$8="SEM DESONERAÇÃO"),_xlfn.XLOOKUP($B107,'CSD'!B:B,OFFSET('CSD'!$D:$D,0,MATCH($B$8,'CSD'!$E$4:$BF$4,0)),0),
IF(AND($A107="COMPOSICAO",$A$8="COM DESONERAÇÃO"),_xlfn.XLOOKUP($B107,'CCD'!B:B,OFFSET('CCD'!$D:$D,0,MATCH($B$8,'CCD'!$E$4:$BF$4,0)),0),
IF(AND($A107="COMPOSICAO",$A$8="SEM ENCARGOS SOCIAIS"),_xlfn.XLOOKUP($B107,'CSE'!B:B,OFFSET('CSE'!$D:$D,0,MATCH($B$8,'CSE'!$E$9:$BF$9,0)),0),""
)))))))</f>
        <v>0</v>
      </c>
      <c r="G107" s="19">
        <f>IF($A107="","",TRUNC(E107*F107,2))</f>
        <v>0</v>
      </c>
      <c r="H107" s="20" cm="1">
        <f t="array" ref="H107">IF($A107="","",
IF(AND($A107="INSUMO",$A$8="SEM DESONERAÇÃO"),_xlfn.LET(_xlpm.linha_insumo,MATCH($B107,'ISD'!$B:$B,0),_xlpm.coluna_uf,MATCH($B$8,'ISD'!$F$4:$AF$4,0),_xlpm.preco_uf,INDEX('ISD'!$F:$AF,_xlpm.linha_insumo,_xlpm.coluna_uf),IF(ISERROR(_xlpm.linha_insumo),"",IF(_xlpm.preco_uf&lt;&gt;0,0%,100%))),
IF(AND($A107="INSUMO",$A$8="COM DESONERAÇÃO"),_xlfn.LET(_xlpm.linha_insumo,MATCH($B107,'ICD'!$B:$B,0),_xlpm.coluna_uf,MATCH($B$8,'ICD'!$F$4:$AF$4,0),_xlpm.preco_uf,INDEX('ICD'!$F:$AF,_xlpm.linha_insumo,_xlpm.coluna_uf),IF(ISERROR(_xlpm.linha_insumo),"",IF(_xlpm.preco_uf&lt;&gt;0,0%,100%))),
IF(AND($A107="INSUMO",$A$8="SEM ENCARGOS SOCIAIS"),_xlfn.LET(_xlpm.linha_insumo,MATCH($B107,'ISE'!$B:$B,0),_xlpm.coluna_uf,MATCH($B$8,'ISE'!$F$10:$AF$10,0),_xlpm.preco_uf,INDEX('ISE'!$F:$AF,_xlpm.linha_insumo,_xlpm.coluna_uf),IF(ISERROR(_xlpm.linha_insumo),"",IF(_xlpm.preco_uf&lt;&gt;0,0%,100%))),
IF(AND($A107="COMPOSICAO",$A$8="SEM DESONERAÇÃO"),_xlfn.XLOOKUP($B107,'CSD'!B:B,OFFSET('CSD'!$D:$D,0,1+MATCH($B$8,'CSD'!$E$4:$BF$4,0)),0),
IF(AND($A107="COMPOSICAO",$A$8="COM DESONERAÇÃO"),_xlfn.XLOOKUP($B107,'CCD'!B:B,OFFSET('CCD'!$D:$D,0,1+MATCH($B$8,'CCD'!$E$4:$BF$4,0)),0),
IF(AND($A107="COMPOSICAO",$A$8="SEM ENCARGOS SOCIAIS"),_xlfn.XLOOKUP($B107,'CSE'!B:B,OFFSET('CSE'!$D:$D,0,1+MATCH($B$8,'CSE'!$E$9:$BF$9,0)),0),""
)))))))</f>
        <v>0</v>
      </c>
    </row>
    <row r="108" spans="6:8">
      <c r="F108" s="19" cm="1">
        <f t="array" ref="F108">IF($A108="","",
IF(AND($A108="INSUMO",$A$8="SEM DESONERAÇÃO"),_xlfn.LET(_xlpm.linha_insumo,MATCH($B108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_xlpm.preco_regional_as,INDEX($M:$M,MATCH($B108&amp;"_"&amp;$B$8,$K:$K,0)),
IF(ISERROR(_xlpm.linha_insumo),0,IF(_xlpm.preco_uf&lt;&gt;0,_xlpm.preco_uf,IF(ISNUMBER(_xlpm.preco_regional_as),_xlpm.preco_regional_as,_xlpm.preco_sp)))),
IF(AND($A108="INSUMO",$A$8="COM DESONERAÇÃO"),_xlfn.LET(_xlpm.linha_insumo,MATCH($B108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_xlpm.preco_regional_as,INDEX($N:$N,MATCH($B108&amp;"_"&amp;$B$8,$K:$K,0)),
IF(ISERROR(_xlpm.linha_insumo),0,IF(_xlpm.preco_uf&lt;&gt;0,_xlpm.preco_uf,IF(ISNUMBER(_xlpm.preco_regional_as),_xlpm.preco_regional_as,_xlpm.preco_sp)))),
IF(AND($A108="INSUMO",$A$8="SEM ENCARGOS SOCIAIS"),_xlfn.LET(_xlpm.linha_insumo,MATCH($B108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_xlpm.preco_regional_as,INDEX($L:$L,MATCH($B108&amp;"_"&amp;$B$8,$K:$K,0)),
IF(ISERROR(_xlpm.linha_insumo),0,IF(_xlpm.preco_uf&lt;&gt;0,_xlpm.preco_uf,IF(ISNUMBER(_xlpm.preco_regional_as),_xlpm.preco_regional_as,_xlpm.preco_sp)))),
IF(AND($A108="COMPOSICAO",$A$8="SEM DESONERAÇÃO"),_xlfn.XLOOKUP($B108,'CSD'!B:B,OFFSET('CSD'!$D:$D,0,MATCH($B$8,'CSD'!$E$4:$BF$4,0)),0),
IF(AND($A108="COMPOSICAO",$A$8="COM DESONERAÇÃO"),_xlfn.XLOOKUP($B108,'CCD'!B:B,OFFSET('CCD'!$D:$D,0,MATCH($B$8,'CCD'!$E$4:$BF$4,0)),0),
IF(AND($A108="COMPOSICAO",$A$8="SEM ENCARGOS SOCIAIS"),_xlfn.XLOOKUP($B108,'CSE'!B:B,OFFSET('CSE'!$D:$D,0,MATCH($B$8,'CSE'!$E$9:$BF$9,0)),0),""
)))))))</f>
        <v>0</v>
      </c>
      <c r="G108" s="19">
        <f>IF($A108="","",TRUNC(E108*F108,2))</f>
        <v>0</v>
      </c>
      <c r="H108" s="20" cm="1">
        <f t="array" ref="H108">IF($A108="","",
IF(AND($A108="INSUMO",$A$8="SEM DESONERAÇÃO"),_xlfn.LET(_xlpm.linha_insumo,MATCH($B108,'ISD'!$B:$B,0),_xlpm.coluna_uf,MATCH($B$8,'ISD'!$F$4:$AF$4,0),_xlpm.preco_uf,INDEX('ISD'!$F:$AF,_xlpm.linha_insumo,_xlpm.coluna_uf),IF(ISERROR(_xlpm.linha_insumo),"",IF(_xlpm.preco_uf&lt;&gt;0,0%,100%))),
IF(AND($A108="INSUMO",$A$8="COM DESONERAÇÃO"),_xlfn.LET(_xlpm.linha_insumo,MATCH($B108,'ICD'!$B:$B,0),_xlpm.coluna_uf,MATCH($B$8,'ICD'!$F$4:$AF$4,0),_xlpm.preco_uf,INDEX('ICD'!$F:$AF,_xlpm.linha_insumo,_xlpm.coluna_uf),IF(ISERROR(_xlpm.linha_insumo),"",IF(_xlpm.preco_uf&lt;&gt;0,0%,100%))),
IF(AND($A108="INSUMO",$A$8="SEM ENCARGOS SOCIAIS"),_xlfn.LET(_xlpm.linha_insumo,MATCH($B108,'ISE'!$B:$B,0),_xlpm.coluna_uf,MATCH($B$8,'ISE'!$F$10:$AF$10,0),_xlpm.preco_uf,INDEX('ISE'!$F:$AF,_xlpm.linha_insumo,_xlpm.coluna_uf),IF(ISERROR(_xlpm.linha_insumo),"",IF(_xlpm.preco_uf&lt;&gt;0,0%,100%))),
IF(AND($A108="COMPOSICAO",$A$8="SEM DESONERAÇÃO"),_xlfn.XLOOKUP($B108,'CSD'!B:B,OFFSET('CSD'!$D:$D,0,1+MATCH($B$8,'CSD'!$E$4:$BF$4,0)),0),
IF(AND($A108="COMPOSICAO",$A$8="COM DESONERAÇÃO"),_xlfn.XLOOKUP($B108,'CCD'!B:B,OFFSET('CCD'!$D:$D,0,1+MATCH($B$8,'CCD'!$E$4:$BF$4,0)),0),
IF(AND($A108="COMPOSICAO",$A$8="SEM ENCARGOS SOCIAIS"),_xlfn.XLOOKUP($B108,'CSE'!B:B,OFFSET('CSE'!$D:$D,0,1+MATCH($B$8,'CSE'!$E$9:$BF$9,0)),0),""
)))))))</f>
        <v>0</v>
      </c>
    </row>
    <row r="109" spans="6:8">
      <c r="F109" s="19" cm="1">
        <f t="array" ref="F109">IF($A109="","",
IF(AND($A109="INSUMO",$A$8="SEM DESONERAÇÃO"),_xlfn.LET(_xlpm.linha_insumo,MATCH($B109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_xlpm.preco_regional_as,INDEX($M:$M,MATCH($B109&amp;"_"&amp;$B$8,$K:$K,0)),
IF(ISERROR(_xlpm.linha_insumo),0,IF(_xlpm.preco_uf&lt;&gt;0,_xlpm.preco_uf,IF(ISNUMBER(_xlpm.preco_regional_as),_xlpm.preco_regional_as,_xlpm.preco_sp)))),
IF(AND($A109="INSUMO",$A$8="COM DESONERAÇÃO"),_xlfn.LET(_xlpm.linha_insumo,MATCH($B109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_xlpm.preco_regional_as,INDEX($N:$N,MATCH($B109&amp;"_"&amp;$B$8,$K:$K,0)),
IF(ISERROR(_xlpm.linha_insumo),0,IF(_xlpm.preco_uf&lt;&gt;0,_xlpm.preco_uf,IF(ISNUMBER(_xlpm.preco_regional_as),_xlpm.preco_regional_as,_xlpm.preco_sp)))),
IF(AND($A109="INSUMO",$A$8="SEM ENCARGOS SOCIAIS"),_xlfn.LET(_xlpm.linha_insumo,MATCH($B109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_xlpm.preco_regional_as,INDEX($L:$L,MATCH($B109&amp;"_"&amp;$B$8,$K:$K,0)),
IF(ISERROR(_xlpm.linha_insumo),0,IF(_xlpm.preco_uf&lt;&gt;0,_xlpm.preco_uf,IF(ISNUMBER(_xlpm.preco_regional_as),_xlpm.preco_regional_as,_xlpm.preco_sp)))),
IF(AND($A109="COMPOSICAO",$A$8="SEM DESONERAÇÃO"),_xlfn.XLOOKUP($B109,'CSD'!B:B,OFFSET('CSD'!$D:$D,0,MATCH($B$8,'CSD'!$E$4:$BF$4,0)),0),
IF(AND($A109="COMPOSICAO",$A$8="COM DESONERAÇÃO"),_xlfn.XLOOKUP($B109,'CCD'!B:B,OFFSET('CCD'!$D:$D,0,MATCH($B$8,'CCD'!$E$4:$BF$4,0)),0),
IF(AND($A109="COMPOSICAO",$A$8="SEM ENCARGOS SOCIAIS"),_xlfn.XLOOKUP($B109,'CSE'!B:B,OFFSET('CSE'!$D:$D,0,MATCH($B$8,'CSE'!$E$9:$BF$9,0)),0),""
)))))))</f>
        <v>0</v>
      </c>
      <c r="G109" s="19">
        <f>IF($A109="","",TRUNC(E109*F109,2))</f>
        <v>0</v>
      </c>
      <c r="H109" s="20" cm="1">
        <f t="array" ref="H109">IF($A109="","",
IF(AND($A109="INSUMO",$A$8="SEM DESONERAÇÃO"),_xlfn.LET(_xlpm.linha_insumo,MATCH($B109,'ISD'!$B:$B,0),_xlpm.coluna_uf,MATCH($B$8,'ISD'!$F$4:$AF$4,0),_xlpm.preco_uf,INDEX('ISD'!$F:$AF,_xlpm.linha_insumo,_xlpm.coluna_uf),IF(ISERROR(_xlpm.linha_insumo),"",IF(_xlpm.preco_uf&lt;&gt;0,0%,100%))),
IF(AND($A109="INSUMO",$A$8="COM DESONERAÇÃO"),_xlfn.LET(_xlpm.linha_insumo,MATCH($B109,'ICD'!$B:$B,0),_xlpm.coluna_uf,MATCH($B$8,'ICD'!$F$4:$AF$4,0),_xlpm.preco_uf,INDEX('ICD'!$F:$AF,_xlpm.linha_insumo,_xlpm.coluna_uf),IF(ISERROR(_xlpm.linha_insumo),"",IF(_xlpm.preco_uf&lt;&gt;0,0%,100%))),
IF(AND($A109="INSUMO",$A$8="SEM ENCARGOS SOCIAIS"),_xlfn.LET(_xlpm.linha_insumo,MATCH($B109,'ISE'!$B:$B,0),_xlpm.coluna_uf,MATCH($B$8,'ISE'!$F$10:$AF$10,0),_xlpm.preco_uf,INDEX('ISE'!$F:$AF,_xlpm.linha_insumo,_xlpm.coluna_uf),IF(ISERROR(_xlpm.linha_insumo),"",IF(_xlpm.preco_uf&lt;&gt;0,0%,100%))),
IF(AND($A109="COMPOSICAO",$A$8="SEM DESONERAÇÃO"),_xlfn.XLOOKUP($B109,'CSD'!B:B,OFFSET('CSD'!$D:$D,0,1+MATCH($B$8,'CSD'!$E$4:$BF$4,0)),0),
IF(AND($A109="COMPOSICAO",$A$8="COM DESONERAÇÃO"),_xlfn.XLOOKUP($B109,'CCD'!B:B,OFFSET('CCD'!$D:$D,0,1+MATCH($B$8,'CCD'!$E$4:$BF$4,0)),0),
IF(AND($A109="COMPOSICAO",$A$8="SEM ENCARGOS SOCIAIS"),_xlfn.XLOOKUP($B109,'CSE'!B:B,OFFSET('CSE'!$D:$D,0,1+MATCH($B$8,'CSE'!$E$9:$BF$9,0)),0),""
)))))))</f>
        <v>0</v>
      </c>
    </row>
    <row r="110" spans="6:8">
      <c r="F110" s="19" cm="1">
        <f t="array" ref="F110">IF($A110="","",
IF(AND($A110="INSUMO",$A$8="SEM DESONERAÇÃO"),_xlfn.LET(_xlpm.linha_insumo,MATCH($B110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_xlpm.preco_regional_as,INDEX($M:$M,MATCH($B110&amp;"_"&amp;$B$8,$K:$K,0)),
IF(ISERROR(_xlpm.linha_insumo),0,IF(_xlpm.preco_uf&lt;&gt;0,_xlpm.preco_uf,IF(ISNUMBER(_xlpm.preco_regional_as),_xlpm.preco_regional_as,_xlpm.preco_sp)))),
IF(AND($A110="INSUMO",$A$8="COM DESONERAÇÃO"),_xlfn.LET(_xlpm.linha_insumo,MATCH($B110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_xlpm.preco_regional_as,INDEX($N:$N,MATCH($B110&amp;"_"&amp;$B$8,$K:$K,0)),
IF(ISERROR(_xlpm.linha_insumo),0,IF(_xlpm.preco_uf&lt;&gt;0,_xlpm.preco_uf,IF(ISNUMBER(_xlpm.preco_regional_as),_xlpm.preco_regional_as,_xlpm.preco_sp)))),
IF(AND($A110="INSUMO",$A$8="SEM ENCARGOS SOCIAIS"),_xlfn.LET(_xlpm.linha_insumo,MATCH($B110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_xlpm.preco_regional_as,INDEX($L:$L,MATCH($B110&amp;"_"&amp;$B$8,$K:$K,0)),
IF(ISERROR(_xlpm.linha_insumo),0,IF(_xlpm.preco_uf&lt;&gt;0,_xlpm.preco_uf,IF(ISNUMBER(_xlpm.preco_regional_as),_xlpm.preco_regional_as,_xlpm.preco_sp)))),
IF(AND($A110="COMPOSICAO",$A$8="SEM DESONERAÇÃO"),_xlfn.XLOOKUP($B110,'CSD'!B:B,OFFSET('CSD'!$D:$D,0,MATCH($B$8,'CSD'!$E$4:$BF$4,0)),0),
IF(AND($A110="COMPOSICAO",$A$8="COM DESONERAÇÃO"),_xlfn.XLOOKUP($B110,'CCD'!B:B,OFFSET('CCD'!$D:$D,0,MATCH($B$8,'CCD'!$E$4:$BF$4,0)),0),
IF(AND($A110="COMPOSICAO",$A$8="SEM ENCARGOS SOCIAIS"),_xlfn.XLOOKUP($B110,'CSE'!B:B,OFFSET('CSE'!$D:$D,0,MATCH($B$8,'CSE'!$E$9:$BF$9,0)),0),""
)))))))</f>
        <v>0</v>
      </c>
      <c r="G110" s="19">
        <f>IF($A110="","",TRUNC(E110*F110,2))</f>
        <v>0</v>
      </c>
      <c r="H110" s="20" cm="1">
        <f t="array" ref="H110">IF($A110="","",
IF(AND($A110="INSUMO",$A$8="SEM DESONERAÇÃO"),_xlfn.LET(_xlpm.linha_insumo,MATCH($B110,'ISD'!$B:$B,0),_xlpm.coluna_uf,MATCH($B$8,'ISD'!$F$4:$AF$4,0),_xlpm.preco_uf,INDEX('ISD'!$F:$AF,_xlpm.linha_insumo,_xlpm.coluna_uf),IF(ISERROR(_xlpm.linha_insumo),"",IF(_xlpm.preco_uf&lt;&gt;0,0%,100%))),
IF(AND($A110="INSUMO",$A$8="COM DESONERAÇÃO"),_xlfn.LET(_xlpm.linha_insumo,MATCH($B110,'ICD'!$B:$B,0),_xlpm.coluna_uf,MATCH($B$8,'ICD'!$F$4:$AF$4,0),_xlpm.preco_uf,INDEX('ICD'!$F:$AF,_xlpm.linha_insumo,_xlpm.coluna_uf),IF(ISERROR(_xlpm.linha_insumo),"",IF(_xlpm.preco_uf&lt;&gt;0,0%,100%))),
IF(AND($A110="INSUMO",$A$8="SEM ENCARGOS SOCIAIS"),_xlfn.LET(_xlpm.linha_insumo,MATCH($B110,'ISE'!$B:$B,0),_xlpm.coluna_uf,MATCH($B$8,'ISE'!$F$10:$AF$10,0),_xlpm.preco_uf,INDEX('ISE'!$F:$AF,_xlpm.linha_insumo,_xlpm.coluna_uf),IF(ISERROR(_xlpm.linha_insumo),"",IF(_xlpm.preco_uf&lt;&gt;0,0%,100%))),
IF(AND($A110="COMPOSICAO",$A$8="SEM DESONERAÇÃO"),_xlfn.XLOOKUP($B110,'CSD'!B:B,OFFSET('CSD'!$D:$D,0,1+MATCH($B$8,'CSD'!$E$4:$BF$4,0)),0),
IF(AND($A110="COMPOSICAO",$A$8="COM DESONERAÇÃO"),_xlfn.XLOOKUP($B110,'CCD'!B:B,OFFSET('CCD'!$D:$D,0,1+MATCH($B$8,'CCD'!$E$4:$BF$4,0)),0),
IF(AND($A110="COMPOSICAO",$A$8="SEM ENCARGOS SOCIAIS"),_xlfn.XLOOKUP($B110,'CSE'!B:B,OFFSET('CSE'!$D:$D,0,1+MATCH($B$8,'CSE'!$E$9:$BF$9,0)),0),""
)))))))</f>
        <v>0</v>
      </c>
    </row>
    <row r="111" spans="6:8">
      <c r="F111" s="19" cm="1">
        <f t="array" ref="F111">IF($A111="","",
IF(AND($A111="INSUMO",$A$8="SEM DESONERAÇÃO"),_xlfn.LET(_xlpm.linha_insumo,MATCH($B111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_xlpm.preco_regional_as,INDEX($M:$M,MATCH($B111&amp;"_"&amp;$B$8,$K:$K,0)),
IF(ISERROR(_xlpm.linha_insumo),0,IF(_xlpm.preco_uf&lt;&gt;0,_xlpm.preco_uf,IF(ISNUMBER(_xlpm.preco_regional_as),_xlpm.preco_regional_as,_xlpm.preco_sp)))),
IF(AND($A111="INSUMO",$A$8="COM DESONERAÇÃO"),_xlfn.LET(_xlpm.linha_insumo,MATCH($B111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_xlpm.preco_regional_as,INDEX($N:$N,MATCH($B111&amp;"_"&amp;$B$8,$K:$K,0)),
IF(ISERROR(_xlpm.linha_insumo),0,IF(_xlpm.preco_uf&lt;&gt;0,_xlpm.preco_uf,IF(ISNUMBER(_xlpm.preco_regional_as),_xlpm.preco_regional_as,_xlpm.preco_sp)))),
IF(AND($A111="INSUMO",$A$8="SEM ENCARGOS SOCIAIS"),_xlfn.LET(_xlpm.linha_insumo,MATCH($B111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_xlpm.preco_regional_as,INDEX($L:$L,MATCH($B111&amp;"_"&amp;$B$8,$K:$K,0)),
IF(ISERROR(_xlpm.linha_insumo),0,IF(_xlpm.preco_uf&lt;&gt;0,_xlpm.preco_uf,IF(ISNUMBER(_xlpm.preco_regional_as),_xlpm.preco_regional_as,_xlpm.preco_sp)))),
IF(AND($A111="COMPOSICAO",$A$8="SEM DESONERAÇÃO"),_xlfn.XLOOKUP($B111,'CSD'!B:B,OFFSET('CSD'!$D:$D,0,MATCH($B$8,'CSD'!$E$4:$BF$4,0)),0),
IF(AND($A111="COMPOSICAO",$A$8="COM DESONERAÇÃO"),_xlfn.XLOOKUP($B111,'CCD'!B:B,OFFSET('CCD'!$D:$D,0,MATCH($B$8,'CCD'!$E$4:$BF$4,0)),0),
IF(AND($A111="COMPOSICAO",$A$8="SEM ENCARGOS SOCIAIS"),_xlfn.XLOOKUP($B111,'CSE'!B:B,OFFSET('CSE'!$D:$D,0,MATCH($B$8,'CSE'!$E$9:$BF$9,0)),0),""
)))))))</f>
        <v>0</v>
      </c>
      <c r="G111" s="19">
        <f>IF($A111="","",TRUNC(E111*F111,2))</f>
        <v>0</v>
      </c>
      <c r="H111" s="20" cm="1">
        <f t="array" ref="H111">IF($A111="","",
IF(AND($A111="INSUMO",$A$8="SEM DESONERAÇÃO"),_xlfn.LET(_xlpm.linha_insumo,MATCH($B111,'ISD'!$B:$B,0),_xlpm.coluna_uf,MATCH($B$8,'ISD'!$F$4:$AF$4,0),_xlpm.preco_uf,INDEX('ISD'!$F:$AF,_xlpm.linha_insumo,_xlpm.coluna_uf),IF(ISERROR(_xlpm.linha_insumo),"",IF(_xlpm.preco_uf&lt;&gt;0,0%,100%))),
IF(AND($A111="INSUMO",$A$8="COM DESONERAÇÃO"),_xlfn.LET(_xlpm.linha_insumo,MATCH($B111,'ICD'!$B:$B,0),_xlpm.coluna_uf,MATCH($B$8,'ICD'!$F$4:$AF$4,0),_xlpm.preco_uf,INDEX('ICD'!$F:$AF,_xlpm.linha_insumo,_xlpm.coluna_uf),IF(ISERROR(_xlpm.linha_insumo),"",IF(_xlpm.preco_uf&lt;&gt;0,0%,100%))),
IF(AND($A111="INSUMO",$A$8="SEM ENCARGOS SOCIAIS"),_xlfn.LET(_xlpm.linha_insumo,MATCH($B111,'ISE'!$B:$B,0),_xlpm.coluna_uf,MATCH($B$8,'ISE'!$F$10:$AF$10,0),_xlpm.preco_uf,INDEX('ISE'!$F:$AF,_xlpm.linha_insumo,_xlpm.coluna_uf),IF(ISERROR(_xlpm.linha_insumo),"",IF(_xlpm.preco_uf&lt;&gt;0,0%,100%))),
IF(AND($A111="COMPOSICAO",$A$8="SEM DESONERAÇÃO"),_xlfn.XLOOKUP($B111,'CSD'!B:B,OFFSET('CSD'!$D:$D,0,1+MATCH($B$8,'CSD'!$E$4:$BF$4,0)),0),
IF(AND($A111="COMPOSICAO",$A$8="COM DESONERAÇÃO"),_xlfn.XLOOKUP($B111,'CCD'!B:B,OFFSET('CCD'!$D:$D,0,1+MATCH($B$8,'CCD'!$E$4:$BF$4,0)),0),
IF(AND($A111="COMPOSICAO",$A$8="SEM ENCARGOS SOCIAIS"),_xlfn.XLOOKUP($B111,'CSE'!B:B,OFFSET('CSE'!$D:$D,0,1+MATCH($B$8,'CSE'!$E$9:$BF$9,0)),0),""
)))))))</f>
        <v>0</v>
      </c>
    </row>
    <row r="112" spans="6:8">
      <c r="F112" s="19" cm="1">
        <f t="array" ref="F112">IF($A112="","",
IF(AND($A112="INSUMO",$A$8="SEM DESONERAÇÃO"),_xlfn.LET(_xlpm.linha_insumo,MATCH($B112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_xlpm.preco_regional_as,INDEX($M:$M,MATCH($B112&amp;"_"&amp;$B$8,$K:$K,0)),
IF(ISERROR(_xlpm.linha_insumo),0,IF(_xlpm.preco_uf&lt;&gt;0,_xlpm.preco_uf,IF(ISNUMBER(_xlpm.preco_regional_as),_xlpm.preco_regional_as,_xlpm.preco_sp)))),
IF(AND($A112="INSUMO",$A$8="COM DESONERAÇÃO"),_xlfn.LET(_xlpm.linha_insumo,MATCH($B112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_xlpm.preco_regional_as,INDEX($N:$N,MATCH($B112&amp;"_"&amp;$B$8,$K:$K,0)),
IF(ISERROR(_xlpm.linha_insumo),0,IF(_xlpm.preco_uf&lt;&gt;0,_xlpm.preco_uf,IF(ISNUMBER(_xlpm.preco_regional_as),_xlpm.preco_regional_as,_xlpm.preco_sp)))),
IF(AND($A112="INSUMO",$A$8="SEM ENCARGOS SOCIAIS"),_xlfn.LET(_xlpm.linha_insumo,MATCH($B112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_xlpm.preco_regional_as,INDEX($L:$L,MATCH($B112&amp;"_"&amp;$B$8,$K:$K,0)),
IF(ISERROR(_xlpm.linha_insumo),0,IF(_xlpm.preco_uf&lt;&gt;0,_xlpm.preco_uf,IF(ISNUMBER(_xlpm.preco_regional_as),_xlpm.preco_regional_as,_xlpm.preco_sp)))),
IF(AND($A112="COMPOSICAO",$A$8="SEM DESONERAÇÃO"),_xlfn.XLOOKUP($B112,'CSD'!B:B,OFFSET('CSD'!$D:$D,0,MATCH($B$8,'CSD'!$E$4:$BF$4,0)),0),
IF(AND($A112="COMPOSICAO",$A$8="COM DESONERAÇÃO"),_xlfn.XLOOKUP($B112,'CCD'!B:B,OFFSET('CCD'!$D:$D,0,MATCH($B$8,'CCD'!$E$4:$BF$4,0)),0),
IF(AND($A112="COMPOSICAO",$A$8="SEM ENCARGOS SOCIAIS"),_xlfn.XLOOKUP($B112,'CSE'!B:B,OFFSET('CSE'!$D:$D,0,MATCH($B$8,'CSE'!$E$9:$BF$9,0)),0),""
)))))))</f>
        <v>0</v>
      </c>
      <c r="G112" s="19">
        <f>IF($A112="","",TRUNC(E112*F112,2))</f>
        <v>0</v>
      </c>
      <c r="H112" s="20" cm="1">
        <f t="array" ref="H112">IF($A112="","",
IF(AND($A112="INSUMO",$A$8="SEM DESONERAÇÃO"),_xlfn.LET(_xlpm.linha_insumo,MATCH($B112,'ISD'!$B:$B,0),_xlpm.coluna_uf,MATCH($B$8,'ISD'!$F$4:$AF$4,0),_xlpm.preco_uf,INDEX('ISD'!$F:$AF,_xlpm.linha_insumo,_xlpm.coluna_uf),IF(ISERROR(_xlpm.linha_insumo),"",IF(_xlpm.preco_uf&lt;&gt;0,0%,100%))),
IF(AND($A112="INSUMO",$A$8="COM DESONERAÇÃO"),_xlfn.LET(_xlpm.linha_insumo,MATCH($B112,'ICD'!$B:$B,0),_xlpm.coluna_uf,MATCH($B$8,'ICD'!$F$4:$AF$4,0),_xlpm.preco_uf,INDEX('ICD'!$F:$AF,_xlpm.linha_insumo,_xlpm.coluna_uf),IF(ISERROR(_xlpm.linha_insumo),"",IF(_xlpm.preco_uf&lt;&gt;0,0%,100%))),
IF(AND($A112="INSUMO",$A$8="SEM ENCARGOS SOCIAIS"),_xlfn.LET(_xlpm.linha_insumo,MATCH($B112,'ISE'!$B:$B,0),_xlpm.coluna_uf,MATCH($B$8,'ISE'!$F$10:$AF$10,0),_xlpm.preco_uf,INDEX('ISE'!$F:$AF,_xlpm.linha_insumo,_xlpm.coluna_uf),IF(ISERROR(_xlpm.linha_insumo),"",IF(_xlpm.preco_uf&lt;&gt;0,0%,100%))),
IF(AND($A112="COMPOSICAO",$A$8="SEM DESONERAÇÃO"),_xlfn.XLOOKUP($B112,'CSD'!B:B,OFFSET('CSD'!$D:$D,0,1+MATCH($B$8,'CSD'!$E$4:$BF$4,0)),0),
IF(AND($A112="COMPOSICAO",$A$8="COM DESONERAÇÃO"),_xlfn.XLOOKUP($B112,'CCD'!B:B,OFFSET('CCD'!$D:$D,0,1+MATCH($B$8,'CCD'!$E$4:$BF$4,0)),0),
IF(AND($A112="COMPOSICAO",$A$8="SEM ENCARGOS SOCIAIS"),_xlfn.XLOOKUP($B112,'CSE'!B:B,OFFSET('CSE'!$D:$D,0,1+MATCH($B$8,'CSE'!$E$9:$BF$9,0)),0),""
)))))))</f>
        <v>0</v>
      </c>
    </row>
    <row r="113" spans="6:8">
      <c r="F113" s="19" cm="1">
        <f t="array" ref="F113">IF($A113="","",
IF(AND($A113="INSUMO",$A$8="SEM DESONERAÇÃO"),_xlfn.LET(_xlpm.linha_insumo,MATCH($B113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_xlpm.preco_regional_as,INDEX($M:$M,MATCH($B113&amp;"_"&amp;$B$8,$K:$K,0)),
IF(ISERROR(_xlpm.linha_insumo),0,IF(_xlpm.preco_uf&lt;&gt;0,_xlpm.preco_uf,IF(ISNUMBER(_xlpm.preco_regional_as),_xlpm.preco_regional_as,_xlpm.preco_sp)))),
IF(AND($A113="INSUMO",$A$8="COM DESONERAÇÃO"),_xlfn.LET(_xlpm.linha_insumo,MATCH($B113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_xlpm.preco_regional_as,INDEX($N:$N,MATCH($B113&amp;"_"&amp;$B$8,$K:$K,0)),
IF(ISERROR(_xlpm.linha_insumo),0,IF(_xlpm.preco_uf&lt;&gt;0,_xlpm.preco_uf,IF(ISNUMBER(_xlpm.preco_regional_as),_xlpm.preco_regional_as,_xlpm.preco_sp)))),
IF(AND($A113="INSUMO",$A$8="SEM ENCARGOS SOCIAIS"),_xlfn.LET(_xlpm.linha_insumo,MATCH($B113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_xlpm.preco_regional_as,INDEX($L:$L,MATCH($B113&amp;"_"&amp;$B$8,$K:$K,0)),
IF(ISERROR(_xlpm.linha_insumo),0,IF(_xlpm.preco_uf&lt;&gt;0,_xlpm.preco_uf,IF(ISNUMBER(_xlpm.preco_regional_as),_xlpm.preco_regional_as,_xlpm.preco_sp)))),
IF(AND($A113="COMPOSICAO",$A$8="SEM DESONERAÇÃO"),_xlfn.XLOOKUP($B113,'CSD'!B:B,OFFSET('CSD'!$D:$D,0,MATCH($B$8,'CSD'!$E$4:$BF$4,0)),0),
IF(AND($A113="COMPOSICAO",$A$8="COM DESONERAÇÃO"),_xlfn.XLOOKUP($B113,'CCD'!B:B,OFFSET('CCD'!$D:$D,0,MATCH($B$8,'CCD'!$E$4:$BF$4,0)),0),
IF(AND($A113="COMPOSICAO",$A$8="SEM ENCARGOS SOCIAIS"),_xlfn.XLOOKUP($B113,'CSE'!B:B,OFFSET('CSE'!$D:$D,0,MATCH($B$8,'CSE'!$E$9:$BF$9,0)),0),""
)))))))</f>
        <v>0</v>
      </c>
      <c r="G113" s="19">
        <f>IF($A113="","",TRUNC(E113*F113,2))</f>
        <v>0</v>
      </c>
      <c r="H113" s="20" cm="1">
        <f t="array" ref="H113">IF($A113="","",
IF(AND($A113="INSUMO",$A$8="SEM DESONERAÇÃO"),_xlfn.LET(_xlpm.linha_insumo,MATCH($B113,'ISD'!$B:$B,0),_xlpm.coluna_uf,MATCH($B$8,'ISD'!$F$4:$AF$4,0),_xlpm.preco_uf,INDEX('ISD'!$F:$AF,_xlpm.linha_insumo,_xlpm.coluna_uf),IF(ISERROR(_xlpm.linha_insumo),"",IF(_xlpm.preco_uf&lt;&gt;0,0%,100%))),
IF(AND($A113="INSUMO",$A$8="COM DESONERAÇÃO"),_xlfn.LET(_xlpm.linha_insumo,MATCH($B113,'ICD'!$B:$B,0),_xlpm.coluna_uf,MATCH($B$8,'ICD'!$F$4:$AF$4,0),_xlpm.preco_uf,INDEX('ICD'!$F:$AF,_xlpm.linha_insumo,_xlpm.coluna_uf),IF(ISERROR(_xlpm.linha_insumo),"",IF(_xlpm.preco_uf&lt;&gt;0,0%,100%))),
IF(AND($A113="INSUMO",$A$8="SEM ENCARGOS SOCIAIS"),_xlfn.LET(_xlpm.linha_insumo,MATCH($B113,'ISE'!$B:$B,0),_xlpm.coluna_uf,MATCH($B$8,'ISE'!$F$10:$AF$10,0),_xlpm.preco_uf,INDEX('ISE'!$F:$AF,_xlpm.linha_insumo,_xlpm.coluna_uf),IF(ISERROR(_xlpm.linha_insumo),"",IF(_xlpm.preco_uf&lt;&gt;0,0%,100%))),
IF(AND($A113="COMPOSICAO",$A$8="SEM DESONERAÇÃO"),_xlfn.XLOOKUP($B113,'CSD'!B:B,OFFSET('CSD'!$D:$D,0,1+MATCH($B$8,'CSD'!$E$4:$BF$4,0)),0),
IF(AND($A113="COMPOSICAO",$A$8="COM DESONERAÇÃO"),_xlfn.XLOOKUP($B113,'CCD'!B:B,OFFSET('CCD'!$D:$D,0,1+MATCH($B$8,'CCD'!$E$4:$BF$4,0)),0),
IF(AND($A113="COMPOSICAO",$A$8="SEM ENCARGOS SOCIAIS"),_xlfn.XLOOKUP($B113,'CSE'!B:B,OFFSET('CSE'!$D:$D,0,1+MATCH($B$8,'CSE'!$E$9:$BF$9,0)),0),""
)))))))</f>
        <v>0</v>
      </c>
    </row>
    <row r="114" spans="6:8">
      <c r="F114" s="19" cm="1">
        <f t="array" ref="F114">IF($A114="","",
IF(AND($A114="INSUMO",$A$8="SEM DESONERAÇÃO"),_xlfn.LET(_xlpm.linha_insumo,MATCH($B114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_xlpm.preco_regional_as,INDEX($M:$M,MATCH($B114&amp;"_"&amp;$B$8,$K:$K,0)),
IF(ISERROR(_xlpm.linha_insumo),0,IF(_xlpm.preco_uf&lt;&gt;0,_xlpm.preco_uf,IF(ISNUMBER(_xlpm.preco_regional_as),_xlpm.preco_regional_as,_xlpm.preco_sp)))),
IF(AND($A114="INSUMO",$A$8="COM DESONERAÇÃO"),_xlfn.LET(_xlpm.linha_insumo,MATCH($B114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_xlpm.preco_regional_as,INDEX($N:$N,MATCH($B114&amp;"_"&amp;$B$8,$K:$K,0)),
IF(ISERROR(_xlpm.linha_insumo),0,IF(_xlpm.preco_uf&lt;&gt;0,_xlpm.preco_uf,IF(ISNUMBER(_xlpm.preco_regional_as),_xlpm.preco_regional_as,_xlpm.preco_sp)))),
IF(AND($A114="INSUMO",$A$8="SEM ENCARGOS SOCIAIS"),_xlfn.LET(_xlpm.linha_insumo,MATCH($B114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_xlpm.preco_regional_as,INDEX($L:$L,MATCH($B114&amp;"_"&amp;$B$8,$K:$K,0)),
IF(ISERROR(_xlpm.linha_insumo),0,IF(_xlpm.preco_uf&lt;&gt;0,_xlpm.preco_uf,IF(ISNUMBER(_xlpm.preco_regional_as),_xlpm.preco_regional_as,_xlpm.preco_sp)))),
IF(AND($A114="COMPOSICAO",$A$8="SEM DESONERAÇÃO"),_xlfn.XLOOKUP($B114,'CSD'!B:B,OFFSET('CSD'!$D:$D,0,MATCH($B$8,'CSD'!$E$4:$BF$4,0)),0),
IF(AND($A114="COMPOSICAO",$A$8="COM DESONERAÇÃO"),_xlfn.XLOOKUP($B114,'CCD'!B:B,OFFSET('CCD'!$D:$D,0,MATCH($B$8,'CCD'!$E$4:$BF$4,0)),0),
IF(AND($A114="COMPOSICAO",$A$8="SEM ENCARGOS SOCIAIS"),_xlfn.XLOOKUP($B114,'CSE'!B:B,OFFSET('CSE'!$D:$D,0,MATCH($B$8,'CSE'!$E$9:$BF$9,0)),0),""
)))))))</f>
        <v>0</v>
      </c>
      <c r="G114" s="19">
        <f>IF($A114="","",TRUNC(E114*F114,2))</f>
        <v>0</v>
      </c>
      <c r="H114" s="20" cm="1">
        <f t="array" ref="H114">IF($A114="","",
IF(AND($A114="INSUMO",$A$8="SEM DESONERAÇÃO"),_xlfn.LET(_xlpm.linha_insumo,MATCH($B114,'ISD'!$B:$B,0),_xlpm.coluna_uf,MATCH($B$8,'ISD'!$F$4:$AF$4,0),_xlpm.preco_uf,INDEX('ISD'!$F:$AF,_xlpm.linha_insumo,_xlpm.coluna_uf),IF(ISERROR(_xlpm.linha_insumo),"",IF(_xlpm.preco_uf&lt;&gt;0,0%,100%))),
IF(AND($A114="INSUMO",$A$8="COM DESONERAÇÃO"),_xlfn.LET(_xlpm.linha_insumo,MATCH($B114,'ICD'!$B:$B,0),_xlpm.coluna_uf,MATCH($B$8,'ICD'!$F$4:$AF$4,0),_xlpm.preco_uf,INDEX('ICD'!$F:$AF,_xlpm.linha_insumo,_xlpm.coluna_uf),IF(ISERROR(_xlpm.linha_insumo),"",IF(_xlpm.preco_uf&lt;&gt;0,0%,100%))),
IF(AND($A114="INSUMO",$A$8="SEM ENCARGOS SOCIAIS"),_xlfn.LET(_xlpm.linha_insumo,MATCH($B114,'ISE'!$B:$B,0),_xlpm.coluna_uf,MATCH($B$8,'ISE'!$F$10:$AF$10,0),_xlpm.preco_uf,INDEX('ISE'!$F:$AF,_xlpm.linha_insumo,_xlpm.coluna_uf),IF(ISERROR(_xlpm.linha_insumo),"",IF(_xlpm.preco_uf&lt;&gt;0,0%,100%))),
IF(AND($A114="COMPOSICAO",$A$8="SEM DESONERAÇÃO"),_xlfn.XLOOKUP($B114,'CSD'!B:B,OFFSET('CSD'!$D:$D,0,1+MATCH($B$8,'CSD'!$E$4:$BF$4,0)),0),
IF(AND($A114="COMPOSICAO",$A$8="COM DESONERAÇÃO"),_xlfn.XLOOKUP($B114,'CCD'!B:B,OFFSET('CCD'!$D:$D,0,1+MATCH($B$8,'CCD'!$E$4:$BF$4,0)),0),
IF(AND($A114="COMPOSICAO",$A$8="SEM ENCARGOS SOCIAIS"),_xlfn.XLOOKUP($B114,'CSE'!B:B,OFFSET('CSE'!$D:$D,0,1+MATCH($B$8,'CSE'!$E$9:$BF$9,0)),0),""
)))))))</f>
        <v>0</v>
      </c>
    </row>
    <row r="115" spans="6:8">
      <c r="F115" s="19" cm="1">
        <f t="array" ref="F115">IF($A115="","",
IF(AND($A115="INSUMO",$A$8="SEM DESONERAÇÃO"),_xlfn.LET(_xlpm.linha_insumo,MATCH($B115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_xlpm.preco_regional_as,INDEX($M:$M,MATCH($B115&amp;"_"&amp;$B$8,$K:$K,0)),
IF(ISERROR(_xlpm.linha_insumo),0,IF(_xlpm.preco_uf&lt;&gt;0,_xlpm.preco_uf,IF(ISNUMBER(_xlpm.preco_regional_as),_xlpm.preco_regional_as,_xlpm.preco_sp)))),
IF(AND($A115="INSUMO",$A$8="COM DESONERAÇÃO"),_xlfn.LET(_xlpm.linha_insumo,MATCH($B115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_xlpm.preco_regional_as,INDEX($N:$N,MATCH($B115&amp;"_"&amp;$B$8,$K:$K,0)),
IF(ISERROR(_xlpm.linha_insumo),0,IF(_xlpm.preco_uf&lt;&gt;0,_xlpm.preco_uf,IF(ISNUMBER(_xlpm.preco_regional_as),_xlpm.preco_regional_as,_xlpm.preco_sp)))),
IF(AND($A115="INSUMO",$A$8="SEM ENCARGOS SOCIAIS"),_xlfn.LET(_xlpm.linha_insumo,MATCH($B115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_xlpm.preco_regional_as,INDEX($L:$L,MATCH($B115&amp;"_"&amp;$B$8,$K:$K,0)),
IF(ISERROR(_xlpm.linha_insumo),0,IF(_xlpm.preco_uf&lt;&gt;0,_xlpm.preco_uf,IF(ISNUMBER(_xlpm.preco_regional_as),_xlpm.preco_regional_as,_xlpm.preco_sp)))),
IF(AND($A115="COMPOSICAO",$A$8="SEM DESONERAÇÃO"),_xlfn.XLOOKUP($B115,'CSD'!B:B,OFFSET('CSD'!$D:$D,0,MATCH($B$8,'CSD'!$E$4:$BF$4,0)),0),
IF(AND($A115="COMPOSICAO",$A$8="COM DESONERAÇÃO"),_xlfn.XLOOKUP($B115,'CCD'!B:B,OFFSET('CCD'!$D:$D,0,MATCH($B$8,'CCD'!$E$4:$BF$4,0)),0),
IF(AND($A115="COMPOSICAO",$A$8="SEM ENCARGOS SOCIAIS"),_xlfn.XLOOKUP($B115,'CSE'!B:B,OFFSET('CSE'!$D:$D,0,MATCH($B$8,'CSE'!$E$9:$BF$9,0)),0),""
)))))))</f>
        <v>0</v>
      </c>
      <c r="G115" s="19">
        <f>IF($A115="","",TRUNC(E115*F115,2))</f>
        <v>0</v>
      </c>
      <c r="H115" s="20" cm="1">
        <f t="array" ref="H115">IF($A115="","",
IF(AND($A115="INSUMO",$A$8="SEM DESONERAÇÃO"),_xlfn.LET(_xlpm.linha_insumo,MATCH($B115,'ISD'!$B:$B,0),_xlpm.coluna_uf,MATCH($B$8,'ISD'!$F$4:$AF$4,0),_xlpm.preco_uf,INDEX('ISD'!$F:$AF,_xlpm.linha_insumo,_xlpm.coluna_uf),IF(ISERROR(_xlpm.linha_insumo),"",IF(_xlpm.preco_uf&lt;&gt;0,0%,100%))),
IF(AND($A115="INSUMO",$A$8="COM DESONERAÇÃO"),_xlfn.LET(_xlpm.linha_insumo,MATCH($B115,'ICD'!$B:$B,0),_xlpm.coluna_uf,MATCH($B$8,'ICD'!$F$4:$AF$4,0),_xlpm.preco_uf,INDEX('ICD'!$F:$AF,_xlpm.linha_insumo,_xlpm.coluna_uf),IF(ISERROR(_xlpm.linha_insumo),"",IF(_xlpm.preco_uf&lt;&gt;0,0%,100%))),
IF(AND($A115="INSUMO",$A$8="SEM ENCARGOS SOCIAIS"),_xlfn.LET(_xlpm.linha_insumo,MATCH($B115,'ISE'!$B:$B,0),_xlpm.coluna_uf,MATCH($B$8,'ISE'!$F$10:$AF$10,0),_xlpm.preco_uf,INDEX('ISE'!$F:$AF,_xlpm.linha_insumo,_xlpm.coluna_uf),IF(ISERROR(_xlpm.linha_insumo),"",IF(_xlpm.preco_uf&lt;&gt;0,0%,100%))),
IF(AND($A115="COMPOSICAO",$A$8="SEM DESONERAÇÃO"),_xlfn.XLOOKUP($B115,'CSD'!B:B,OFFSET('CSD'!$D:$D,0,1+MATCH($B$8,'CSD'!$E$4:$BF$4,0)),0),
IF(AND($A115="COMPOSICAO",$A$8="COM DESONERAÇÃO"),_xlfn.XLOOKUP($B115,'CCD'!B:B,OFFSET('CCD'!$D:$D,0,1+MATCH($B$8,'CCD'!$E$4:$BF$4,0)),0),
IF(AND($A115="COMPOSICAO",$A$8="SEM ENCARGOS SOCIAIS"),_xlfn.XLOOKUP($B115,'CSE'!B:B,OFFSET('CSE'!$D:$D,0,1+MATCH($B$8,'CSE'!$E$9:$BF$9,0)),0),""
)))))))</f>
        <v>0</v>
      </c>
    </row>
    <row r="116" spans="6:8">
      <c r="F116" s="19" cm="1">
        <f t="array" ref="F116">IF($A116="","",
IF(AND($A116="INSUMO",$A$8="SEM DESONERAÇÃO"),_xlfn.LET(_xlpm.linha_insumo,MATCH($B116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_xlpm.preco_regional_as,INDEX($M:$M,MATCH($B116&amp;"_"&amp;$B$8,$K:$K,0)),
IF(ISERROR(_xlpm.linha_insumo),0,IF(_xlpm.preco_uf&lt;&gt;0,_xlpm.preco_uf,IF(ISNUMBER(_xlpm.preco_regional_as),_xlpm.preco_regional_as,_xlpm.preco_sp)))),
IF(AND($A116="INSUMO",$A$8="COM DESONERAÇÃO"),_xlfn.LET(_xlpm.linha_insumo,MATCH($B116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_xlpm.preco_regional_as,INDEX($N:$N,MATCH($B116&amp;"_"&amp;$B$8,$K:$K,0)),
IF(ISERROR(_xlpm.linha_insumo),0,IF(_xlpm.preco_uf&lt;&gt;0,_xlpm.preco_uf,IF(ISNUMBER(_xlpm.preco_regional_as),_xlpm.preco_regional_as,_xlpm.preco_sp)))),
IF(AND($A116="INSUMO",$A$8="SEM ENCARGOS SOCIAIS"),_xlfn.LET(_xlpm.linha_insumo,MATCH($B116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_xlpm.preco_regional_as,INDEX($L:$L,MATCH($B116&amp;"_"&amp;$B$8,$K:$K,0)),
IF(ISERROR(_xlpm.linha_insumo),0,IF(_xlpm.preco_uf&lt;&gt;0,_xlpm.preco_uf,IF(ISNUMBER(_xlpm.preco_regional_as),_xlpm.preco_regional_as,_xlpm.preco_sp)))),
IF(AND($A116="COMPOSICAO",$A$8="SEM DESONERAÇÃO"),_xlfn.XLOOKUP($B116,'CSD'!B:B,OFFSET('CSD'!$D:$D,0,MATCH($B$8,'CSD'!$E$4:$BF$4,0)),0),
IF(AND($A116="COMPOSICAO",$A$8="COM DESONERAÇÃO"),_xlfn.XLOOKUP($B116,'CCD'!B:B,OFFSET('CCD'!$D:$D,0,MATCH($B$8,'CCD'!$E$4:$BF$4,0)),0),
IF(AND($A116="COMPOSICAO",$A$8="SEM ENCARGOS SOCIAIS"),_xlfn.XLOOKUP($B116,'CSE'!B:B,OFFSET('CSE'!$D:$D,0,MATCH($B$8,'CSE'!$E$9:$BF$9,0)),0),""
)))))))</f>
        <v>0</v>
      </c>
      <c r="G116" s="19">
        <f>IF($A116="","",TRUNC(E116*F116,2))</f>
        <v>0</v>
      </c>
      <c r="H116" s="20" cm="1">
        <f t="array" ref="H116">IF($A116="","",
IF(AND($A116="INSUMO",$A$8="SEM DESONERAÇÃO"),_xlfn.LET(_xlpm.linha_insumo,MATCH($B116,'ISD'!$B:$B,0),_xlpm.coluna_uf,MATCH($B$8,'ISD'!$F$4:$AF$4,0),_xlpm.preco_uf,INDEX('ISD'!$F:$AF,_xlpm.linha_insumo,_xlpm.coluna_uf),IF(ISERROR(_xlpm.linha_insumo),"",IF(_xlpm.preco_uf&lt;&gt;0,0%,100%))),
IF(AND($A116="INSUMO",$A$8="COM DESONERAÇÃO"),_xlfn.LET(_xlpm.linha_insumo,MATCH($B116,'ICD'!$B:$B,0),_xlpm.coluna_uf,MATCH($B$8,'ICD'!$F$4:$AF$4,0),_xlpm.preco_uf,INDEX('ICD'!$F:$AF,_xlpm.linha_insumo,_xlpm.coluna_uf),IF(ISERROR(_xlpm.linha_insumo),"",IF(_xlpm.preco_uf&lt;&gt;0,0%,100%))),
IF(AND($A116="INSUMO",$A$8="SEM ENCARGOS SOCIAIS"),_xlfn.LET(_xlpm.linha_insumo,MATCH($B116,'ISE'!$B:$B,0),_xlpm.coluna_uf,MATCH($B$8,'ISE'!$F$10:$AF$10,0),_xlpm.preco_uf,INDEX('ISE'!$F:$AF,_xlpm.linha_insumo,_xlpm.coluna_uf),IF(ISERROR(_xlpm.linha_insumo),"",IF(_xlpm.preco_uf&lt;&gt;0,0%,100%))),
IF(AND($A116="COMPOSICAO",$A$8="SEM DESONERAÇÃO"),_xlfn.XLOOKUP($B116,'CSD'!B:B,OFFSET('CSD'!$D:$D,0,1+MATCH($B$8,'CSD'!$E$4:$BF$4,0)),0),
IF(AND($A116="COMPOSICAO",$A$8="COM DESONERAÇÃO"),_xlfn.XLOOKUP($B116,'CCD'!B:B,OFFSET('CCD'!$D:$D,0,1+MATCH($B$8,'CCD'!$E$4:$BF$4,0)),0),
IF(AND($A116="COMPOSICAO",$A$8="SEM ENCARGOS SOCIAIS"),_xlfn.XLOOKUP($B116,'CSE'!B:B,OFFSET('CSE'!$D:$D,0,1+MATCH($B$8,'CSE'!$E$9:$BF$9,0)),0),""
)))))))</f>
        <v>0</v>
      </c>
    </row>
    <row r="117" spans="6:8">
      <c r="F117" s="19" cm="1">
        <f t="array" ref="F117">IF($A117="","",
IF(AND($A117="INSUMO",$A$8="SEM DESONERAÇÃO"),_xlfn.LET(_xlpm.linha_insumo,MATCH($B117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_xlpm.preco_regional_as,INDEX($M:$M,MATCH($B117&amp;"_"&amp;$B$8,$K:$K,0)),
IF(ISERROR(_xlpm.linha_insumo),0,IF(_xlpm.preco_uf&lt;&gt;0,_xlpm.preco_uf,IF(ISNUMBER(_xlpm.preco_regional_as),_xlpm.preco_regional_as,_xlpm.preco_sp)))),
IF(AND($A117="INSUMO",$A$8="COM DESONERAÇÃO"),_xlfn.LET(_xlpm.linha_insumo,MATCH($B117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_xlpm.preco_regional_as,INDEX($N:$N,MATCH($B117&amp;"_"&amp;$B$8,$K:$K,0)),
IF(ISERROR(_xlpm.linha_insumo),0,IF(_xlpm.preco_uf&lt;&gt;0,_xlpm.preco_uf,IF(ISNUMBER(_xlpm.preco_regional_as),_xlpm.preco_regional_as,_xlpm.preco_sp)))),
IF(AND($A117="INSUMO",$A$8="SEM ENCARGOS SOCIAIS"),_xlfn.LET(_xlpm.linha_insumo,MATCH($B117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_xlpm.preco_regional_as,INDEX($L:$L,MATCH($B117&amp;"_"&amp;$B$8,$K:$K,0)),
IF(ISERROR(_xlpm.linha_insumo),0,IF(_xlpm.preco_uf&lt;&gt;0,_xlpm.preco_uf,IF(ISNUMBER(_xlpm.preco_regional_as),_xlpm.preco_regional_as,_xlpm.preco_sp)))),
IF(AND($A117="COMPOSICAO",$A$8="SEM DESONERAÇÃO"),_xlfn.XLOOKUP($B117,'CSD'!B:B,OFFSET('CSD'!$D:$D,0,MATCH($B$8,'CSD'!$E$4:$BF$4,0)),0),
IF(AND($A117="COMPOSICAO",$A$8="COM DESONERAÇÃO"),_xlfn.XLOOKUP($B117,'CCD'!B:B,OFFSET('CCD'!$D:$D,0,MATCH($B$8,'CCD'!$E$4:$BF$4,0)),0),
IF(AND($A117="COMPOSICAO",$A$8="SEM ENCARGOS SOCIAIS"),_xlfn.XLOOKUP($B117,'CSE'!B:B,OFFSET('CSE'!$D:$D,0,MATCH($B$8,'CSE'!$E$9:$BF$9,0)),0),""
)))))))</f>
        <v>0</v>
      </c>
      <c r="G117" s="19">
        <f>IF($A117="","",TRUNC(E117*F117,2))</f>
        <v>0</v>
      </c>
      <c r="H117" s="20" cm="1">
        <f t="array" ref="H117">IF($A117="","",
IF(AND($A117="INSUMO",$A$8="SEM DESONERAÇÃO"),_xlfn.LET(_xlpm.linha_insumo,MATCH($B117,'ISD'!$B:$B,0),_xlpm.coluna_uf,MATCH($B$8,'ISD'!$F$4:$AF$4,0),_xlpm.preco_uf,INDEX('ISD'!$F:$AF,_xlpm.linha_insumo,_xlpm.coluna_uf),IF(ISERROR(_xlpm.linha_insumo),"",IF(_xlpm.preco_uf&lt;&gt;0,0%,100%))),
IF(AND($A117="INSUMO",$A$8="COM DESONERAÇÃO"),_xlfn.LET(_xlpm.linha_insumo,MATCH($B117,'ICD'!$B:$B,0),_xlpm.coluna_uf,MATCH($B$8,'ICD'!$F$4:$AF$4,0),_xlpm.preco_uf,INDEX('ICD'!$F:$AF,_xlpm.linha_insumo,_xlpm.coluna_uf),IF(ISERROR(_xlpm.linha_insumo),"",IF(_xlpm.preco_uf&lt;&gt;0,0%,100%))),
IF(AND($A117="INSUMO",$A$8="SEM ENCARGOS SOCIAIS"),_xlfn.LET(_xlpm.linha_insumo,MATCH($B117,'ISE'!$B:$B,0),_xlpm.coluna_uf,MATCH($B$8,'ISE'!$F$10:$AF$10,0),_xlpm.preco_uf,INDEX('ISE'!$F:$AF,_xlpm.linha_insumo,_xlpm.coluna_uf),IF(ISERROR(_xlpm.linha_insumo),"",IF(_xlpm.preco_uf&lt;&gt;0,0%,100%))),
IF(AND($A117="COMPOSICAO",$A$8="SEM DESONERAÇÃO"),_xlfn.XLOOKUP($B117,'CSD'!B:B,OFFSET('CSD'!$D:$D,0,1+MATCH($B$8,'CSD'!$E$4:$BF$4,0)),0),
IF(AND($A117="COMPOSICAO",$A$8="COM DESONERAÇÃO"),_xlfn.XLOOKUP($B117,'CCD'!B:B,OFFSET('CCD'!$D:$D,0,1+MATCH($B$8,'CCD'!$E$4:$BF$4,0)),0),
IF(AND($A117="COMPOSICAO",$A$8="SEM ENCARGOS SOCIAIS"),_xlfn.XLOOKUP($B117,'CSE'!B:B,OFFSET('CSE'!$D:$D,0,1+MATCH($B$8,'CSE'!$E$9:$BF$9,0)),0),""
)))))))</f>
        <v>0</v>
      </c>
    </row>
    <row r="118" spans="6:8">
      <c r="F118" s="19" cm="1">
        <f t="array" ref="F118">IF($A118="","",
IF(AND($A118="INSUMO",$A$8="SEM DESONERAÇÃO"),_xlfn.LET(_xlpm.linha_insumo,MATCH($B118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_xlpm.preco_regional_as,INDEX($M:$M,MATCH($B118&amp;"_"&amp;$B$8,$K:$K,0)),
IF(ISERROR(_xlpm.linha_insumo),0,IF(_xlpm.preco_uf&lt;&gt;0,_xlpm.preco_uf,IF(ISNUMBER(_xlpm.preco_regional_as),_xlpm.preco_regional_as,_xlpm.preco_sp)))),
IF(AND($A118="INSUMO",$A$8="COM DESONERAÇÃO"),_xlfn.LET(_xlpm.linha_insumo,MATCH($B118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_xlpm.preco_regional_as,INDEX($N:$N,MATCH($B118&amp;"_"&amp;$B$8,$K:$K,0)),
IF(ISERROR(_xlpm.linha_insumo),0,IF(_xlpm.preco_uf&lt;&gt;0,_xlpm.preco_uf,IF(ISNUMBER(_xlpm.preco_regional_as),_xlpm.preco_regional_as,_xlpm.preco_sp)))),
IF(AND($A118="INSUMO",$A$8="SEM ENCARGOS SOCIAIS"),_xlfn.LET(_xlpm.linha_insumo,MATCH($B118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_xlpm.preco_regional_as,INDEX($L:$L,MATCH($B118&amp;"_"&amp;$B$8,$K:$K,0)),
IF(ISERROR(_xlpm.linha_insumo),0,IF(_xlpm.preco_uf&lt;&gt;0,_xlpm.preco_uf,IF(ISNUMBER(_xlpm.preco_regional_as),_xlpm.preco_regional_as,_xlpm.preco_sp)))),
IF(AND($A118="COMPOSICAO",$A$8="SEM DESONERAÇÃO"),_xlfn.XLOOKUP($B118,'CSD'!B:B,OFFSET('CSD'!$D:$D,0,MATCH($B$8,'CSD'!$E$4:$BF$4,0)),0),
IF(AND($A118="COMPOSICAO",$A$8="COM DESONERAÇÃO"),_xlfn.XLOOKUP($B118,'CCD'!B:B,OFFSET('CCD'!$D:$D,0,MATCH($B$8,'CCD'!$E$4:$BF$4,0)),0),
IF(AND($A118="COMPOSICAO",$A$8="SEM ENCARGOS SOCIAIS"),_xlfn.XLOOKUP($B118,'CSE'!B:B,OFFSET('CSE'!$D:$D,0,MATCH($B$8,'CSE'!$E$9:$BF$9,0)),0),""
)))))))</f>
        <v>0</v>
      </c>
      <c r="G118" s="19">
        <f>IF($A118="","",TRUNC(E118*F118,2))</f>
        <v>0</v>
      </c>
      <c r="H118" s="20" cm="1">
        <f t="array" ref="H118">IF($A118="","",
IF(AND($A118="INSUMO",$A$8="SEM DESONERAÇÃO"),_xlfn.LET(_xlpm.linha_insumo,MATCH($B118,'ISD'!$B:$B,0),_xlpm.coluna_uf,MATCH($B$8,'ISD'!$F$4:$AF$4,0),_xlpm.preco_uf,INDEX('ISD'!$F:$AF,_xlpm.linha_insumo,_xlpm.coluna_uf),IF(ISERROR(_xlpm.linha_insumo),"",IF(_xlpm.preco_uf&lt;&gt;0,0%,100%))),
IF(AND($A118="INSUMO",$A$8="COM DESONERAÇÃO"),_xlfn.LET(_xlpm.linha_insumo,MATCH($B118,'ICD'!$B:$B,0),_xlpm.coluna_uf,MATCH($B$8,'ICD'!$F$4:$AF$4,0),_xlpm.preco_uf,INDEX('ICD'!$F:$AF,_xlpm.linha_insumo,_xlpm.coluna_uf),IF(ISERROR(_xlpm.linha_insumo),"",IF(_xlpm.preco_uf&lt;&gt;0,0%,100%))),
IF(AND($A118="INSUMO",$A$8="SEM ENCARGOS SOCIAIS"),_xlfn.LET(_xlpm.linha_insumo,MATCH($B118,'ISE'!$B:$B,0),_xlpm.coluna_uf,MATCH($B$8,'ISE'!$F$10:$AF$10,0),_xlpm.preco_uf,INDEX('ISE'!$F:$AF,_xlpm.linha_insumo,_xlpm.coluna_uf),IF(ISERROR(_xlpm.linha_insumo),"",IF(_xlpm.preco_uf&lt;&gt;0,0%,100%))),
IF(AND($A118="COMPOSICAO",$A$8="SEM DESONERAÇÃO"),_xlfn.XLOOKUP($B118,'CSD'!B:B,OFFSET('CSD'!$D:$D,0,1+MATCH($B$8,'CSD'!$E$4:$BF$4,0)),0),
IF(AND($A118="COMPOSICAO",$A$8="COM DESONERAÇÃO"),_xlfn.XLOOKUP($B118,'CCD'!B:B,OFFSET('CCD'!$D:$D,0,1+MATCH($B$8,'CCD'!$E$4:$BF$4,0)),0),
IF(AND($A118="COMPOSICAO",$A$8="SEM ENCARGOS SOCIAIS"),_xlfn.XLOOKUP($B118,'CSE'!B:B,OFFSET('CSE'!$D:$D,0,1+MATCH($B$8,'CSE'!$E$9:$BF$9,0)),0),""
)))))))</f>
        <v>0</v>
      </c>
    </row>
    <row r="119" spans="6:8">
      <c r="F119" s="19" cm="1">
        <f t="array" ref="F119">IF($A119="","",
IF(AND($A119="INSUMO",$A$8="SEM DESONERAÇÃO"),_xlfn.LET(_xlpm.linha_insumo,MATCH($B119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_xlpm.preco_regional_as,INDEX($M:$M,MATCH($B119&amp;"_"&amp;$B$8,$K:$K,0)),
IF(ISERROR(_xlpm.linha_insumo),0,IF(_xlpm.preco_uf&lt;&gt;0,_xlpm.preco_uf,IF(ISNUMBER(_xlpm.preco_regional_as),_xlpm.preco_regional_as,_xlpm.preco_sp)))),
IF(AND($A119="INSUMO",$A$8="COM DESONERAÇÃO"),_xlfn.LET(_xlpm.linha_insumo,MATCH($B119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_xlpm.preco_regional_as,INDEX($N:$N,MATCH($B119&amp;"_"&amp;$B$8,$K:$K,0)),
IF(ISERROR(_xlpm.linha_insumo),0,IF(_xlpm.preco_uf&lt;&gt;0,_xlpm.preco_uf,IF(ISNUMBER(_xlpm.preco_regional_as),_xlpm.preco_regional_as,_xlpm.preco_sp)))),
IF(AND($A119="INSUMO",$A$8="SEM ENCARGOS SOCIAIS"),_xlfn.LET(_xlpm.linha_insumo,MATCH($B119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_xlpm.preco_regional_as,INDEX($L:$L,MATCH($B119&amp;"_"&amp;$B$8,$K:$K,0)),
IF(ISERROR(_xlpm.linha_insumo),0,IF(_xlpm.preco_uf&lt;&gt;0,_xlpm.preco_uf,IF(ISNUMBER(_xlpm.preco_regional_as),_xlpm.preco_regional_as,_xlpm.preco_sp)))),
IF(AND($A119="COMPOSICAO",$A$8="SEM DESONERAÇÃO"),_xlfn.XLOOKUP($B119,'CSD'!B:B,OFFSET('CSD'!$D:$D,0,MATCH($B$8,'CSD'!$E$4:$BF$4,0)),0),
IF(AND($A119="COMPOSICAO",$A$8="COM DESONERAÇÃO"),_xlfn.XLOOKUP($B119,'CCD'!B:B,OFFSET('CCD'!$D:$D,0,MATCH($B$8,'CCD'!$E$4:$BF$4,0)),0),
IF(AND($A119="COMPOSICAO",$A$8="SEM ENCARGOS SOCIAIS"),_xlfn.XLOOKUP($B119,'CSE'!B:B,OFFSET('CSE'!$D:$D,0,MATCH($B$8,'CSE'!$E$9:$BF$9,0)),0),""
)))))))</f>
        <v>0</v>
      </c>
      <c r="G119" s="19">
        <f>IF($A119="","",TRUNC(E119*F119,2))</f>
        <v>0</v>
      </c>
      <c r="H119" s="20" cm="1">
        <f t="array" ref="H119">IF($A119="","",
IF(AND($A119="INSUMO",$A$8="SEM DESONERAÇÃO"),_xlfn.LET(_xlpm.linha_insumo,MATCH($B119,'ISD'!$B:$B,0),_xlpm.coluna_uf,MATCH($B$8,'ISD'!$F$4:$AF$4,0),_xlpm.preco_uf,INDEX('ISD'!$F:$AF,_xlpm.linha_insumo,_xlpm.coluna_uf),IF(ISERROR(_xlpm.linha_insumo),"",IF(_xlpm.preco_uf&lt;&gt;0,0%,100%))),
IF(AND($A119="INSUMO",$A$8="COM DESONERAÇÃO"),_xlfn.LET(_xlpm.linha_insumo,MATCH($B119,'ICD'!$B:$B,0),_xlpm.coluna_uf,MATCH($B$8,'ICD'!$F$4:$AF$4,0),_xlpm.preco_uf,INDEX('ICD'!$F:$AF,_xlpm.linha_insumo,_xlpm.coluna_uf),IF(ISERROR(_xlpm.linha_insumo),"",IF(_xlpm.preco_uf&lt;&gt;0,0%,100%))),
IF(AND($A119="INSUMO",$A$8="SEM ENCARGOS SOCIAIS"),_xlfn.LET(_xlpm.linha_insumo,MATCH($B119,'ISE'!$B:$B,0),_xlpm.coluna_uf,MATCH($B$8,'ISE'!$F$10:$AF$10,0),_xlpm.preco_uf,INDEX('ISE'!$F:$AF,_xlpm.linha_insumo,_xlpm.coluna_uf),IF(ISERROR(_xlpm.linha_insumo),"",IF(_xlpm.preco_uf&lt;&gt;0,0%,100%))),
IF(AND($A119="COMPOSICAO",$A$8="SEM DESONERAÇÃO"),_xlfn.XLOOKUP($B119,'CSD'!B:B,OFFSET('CSD'!$D:$D,0,1+MATCH($B$8,'CSD'!$E$4:$BF$4,0)),0),
IF(AND($A119="COMPOSICAO",$A$8="COM DESONERAÇÃO"),_xlfn.XLOOKUP($B119,'CCD'!B:B,OFFSET('CCD'!$D:$D,0,1+MATCH($B$8,'CCD'!$E$4:$BF$4,0)),0),
IF(AND($A119="COMPOSICAO",$A$8="SEM ENCARGOS SOCIAIS"),_xlfn.XLOOKUP($B119,'CSE'!B:B,OFFSET('CSE'!$D:$D,0,1+MATCH($B$8,'CSE'!$E$9:$BF$9,0)),0),""
)))))))</f>
        <v>0</v>
      </c>
    </row>
    <row r="120" spans="6:8">
      <c r="F120" s="19" cm="1">
        <f t="array" ref="F120">IF($A120="","",
IF(AND($A120="INSUMO",$A$8="SEM DESONERAÇÃO"),_xlfn.LET(_xlpm.linha_insumo,MATCH($B120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_xlpm.preco_regional_as,INDEX($M:$M,MATCH($B120&amp;"_"&amp;$B$8,$K:$K,0)),
IF(ISERROR(_xlpm.linha_insumo),0,IF(_xlpm.preco_uf&lt;&gt;0,_xlpm.preco_uf,IF(ISNUMBER(_xlpm.preco_regional_as),_xlpm.preco_regional_as,_xlpm.preco_sp)))),
IF(AND($A120="INSUMO",$A$8="COM DESONERAÇÃO"),_xlfn.LET(_xlpm.linha_insumo,MATCH($B120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_xlpm.preco_regional_as,INDEX($N:$N,MATCH($B120&amp;"_"&amp;$B$8,$K:$K,0)),
IF(ISERROR(_xlpm.linha_insumo),0,IF(_xlpm.preco_uf&lt;&gt;0,_xlpm.preco_uf,IF(ISNUMBER(_xlpm.preco_regional_as),_xlpm.preco_regional_as,_xlpm.preco_sp)))),
IF(AND($A120="INSUMO",$A$8="SEM ENCARGOS SOCIAIS"),_xlfn.LET(_xlpm.linha_insumo,MATCH($B120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_xlpm.preco_regional_as,INDEX($L:$L,MATCH($B120&amp;"_"&amp;$B$8,$K:$K,0)),
IF(ISERROR(_xlpm.linha_insumo),0,IF(_xlpm.preco_uf&lt;&gt;0,_xlpm.preco_uf,IF(ISNUMBER(_xlpm.preco_regional_as),_xlpm.preco_regional_as,_xlpm.preco_sp)))),
IF(AND($A120="COMPOSICAO",$A$8="SEM DESONERAÇÃO"),_xlfn.XLOOKUP($B120,'CSD'!B:B,OFFSET('CSD'!$D:$D,0,MATCH($B$8,'CSD'!$E$4:$BF$4,0)),0),
IF(AND($A120="COMPOSICAO",$A$8="COM DESONERAÇÃO"),_xlfn.XLOOKUP($B120,'CCD'!B:B,OFFSET('CCD'!$D:$D,0,MATCH($B$8,'CCD'!$E$4:$BF$4,0)),0),
IF(AND($A120="COMPOSICAO",$A$8="SEM ENCARGOS SOCIAIS"),_xlfn.XLOOKUP($B120,'CSE'!B:B,OFFSET('CSE'!$D:$D,0,MATCH($B$8,'CSE'!$E$9:$BF$9,0)),0),""
)))))))</f>
        <v>0</v>
      </c>
      <c r="G120" s="19">
        <f>IF($A120="","",TRUNC(E120*F120,2))</f>
        <v>0</v>
      </c>
      <c r="H120" s="20" cm="1">
        <f t="array" ref="H120">IF($A120="","",
IF(AND($A120="INSUMO",$A$8="SEM DESONERAÇÃO"),_xlfn.LET(_xlpm.linha_insumo,MATCH($B120,'ISD'!$B:$B,0),_xlpm.coluna_uf,MATCH($B$8,'ISD'!$F$4:$AF$4,0),_xlpm.preco_uf,INDEX('ISD'!$F:$AF,_xlpm.linha_insumo,_xlpm.coluna_uf),IF(ISERROR(_xlpm.linha_insumo),"",IF(_xlpm.preco_uf&lt;&gt;0,0%,100%))),
IF(AND($A120="INSUMO",$A$8="COM DESONERAÇÃO"),_xlfn.LET(_xlpm.linha_insumo,MATCH($B120,'ICD'!$B:$B,0),_xlpm.coluna_uf,MATCH($B$8,'ICD'!$F$4:$AF$4,0),_xlpm.preco_uf,INDEX('ICD'!$F:$AF,_xlpm.linha_insumo,_xlpm.coluna_uf),IF(ISERROR(_xlpm.linha_insumo),"",IF(_xlpm.preco_uf&lt;&gt;0,0%,100%))),
IF(AND($A120="INSUMO",$A$8="SEM ENCARGOS SOCIAIS"),_xlfn.LET(_xlpm.linha_insumo,MATCH($B120,'ISE'!$B:$B,0),_xlpm.coluna_uf,MATCH($B$8,'ISE'!$F$10:$AF$10,0),_xlpm.preco_uf,INDEX('ISE'!$F:$AF,_xlpm.linha_insumo,_xlpm.coluna_uf),IF(ISERROR(_xlpm.linha_insumo),"",IF(_xlpm.preco_uf&lt;&gt;0,0%,100%))),
IF(AND($A120="COMPOSICAO",$A$8="SEM DESONERAÇÃO"),_xlfn.XLOOKUP($B120,'CSD'!B:B,OFFSET('CSD'!$D:$D,0,1+MATCH($B$8,'CSD'!$E$4:$BF$4,0)),0),
IF(AND($A120="COMPOSICAO",$A$8="COM DESONERAÇÃO"),_xlfn.XLOOKUP($B120,'CCD'!B:B,OFFSET('CCD'!$D:$D,0,1+MATCH($B$8,'CCD'!$E$4:$BF$4,0)),0),
IF(AND($A120="COMPOSICAO",$A$8="SEM ENCARGOS SOCIAIS"),_xlfn.XLOOKUP($B120,'CSE'!B:B,OFFSET('CSE'!$D:$D,0,1+MATCH($B$8,'CSE'!$E$9:$BF$9,0)),0),""
)))))))</f>
        <v>0</v>
      </c>
    </row>
    <row r="121" spans="6:8">
      <c r="F121" s="19" cm="1">
        <f t="array" ref="F121">IF($A121="","",
IF(AND($A121="INSUMO",$A$8="SEM DESONERAÇÃO"),_xlfn.LET(_xlpm.linha_insumo,MATCH($B121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_xlpm.preco_regional_as,INDEX($M:$M,MATCH($B121&amp;"_"&amp;$B$8,$K:$K,0)),
IF(ISERROR(_xlpm.linha_insumo),0,IF(_xlpm.preco_uf&lt;&gt;0,_xlpm.preco_uf,IF(ISNUMBER(_xlpm.preco_regional_as),_xlpm.preco_regional_as,_xlpm.preco_sp)))),
IF(AND($A121="INSUMO",$A$8="COM DESONERAÇÃO"),_xlfn.LET(_xlpm.linha_insumo,MATCH($B121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_xlpm.preco_regional_as,INDEX($N:$N,MATCH($B121&amp;"_"&amp;$B$8,$K:$K,0)),
IF(ISERROR(_xlpm.linha_insumo),0,IF(_xlpm.preco_uf&lt;&gt;0,_xlpm.preco_uf,IF(ISNUMBER(_xlpm.preco_regional_as),_xlpm.preco_regional_as,_xlpm.preco_sp)))),
IF(AND($A121="INSUMO",$A$8="SEM ENCARGOS SOCIAIS"),_xlfn.LET(_xlpm.linha_insumo,MATCH($B121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_xlpm.preco_regional_as,INDEX($L:$L,MATCH($B121&amp;"_"&amp;$B$8,$K:$K,0)),
IF(ISERROR(_xlpm.linha_insumo),0,IF(_xlpm.preco_uf&lt;&gt;0,_xlpm.preco_uf,IF(ISNUMBER(_xlpm.preco_regional_as),_xlpm.preco_regional_as,_xlpm.preco_sp)))),
IF(AND($A121="COMPOSICAO",$A$8="SEM DESONERAÇÃO"),_xlfn.XLOOKUP($B121,'CSD'!B:B,OFFSET('CSD'!$D:$D,0,MATCH($B$8,'CSD'!$E$4:$BF$4,0)),0),
IF(AND($A121="COMPOSICAO",$A$8="COM DESONERAÇÃO"),_xlfn.XLOOKUP($B121,'CCD'!B:B,OFFSET('CCD'!$D:$D,0,MATCH($B$8,'CCD'!$E$4:$BF$4,0)),0),
IF(AND($A121="COMPOSICAO",$A$8="SEM ENCARGOS SOCIAIS"),_xlfn.XLOOKUP($B121,'CSE'!B:B,OFFSET('CSE'!$D:$D,0,MATCH($B$8,'CSE'!$E$9:$BF$9,0)),0),""
)))))))</f>
        <v>0</v>
      </c>
      <c r="G121" s="19">
        <f>IF($A121="","",TRUNC(E121*F121,2))</f>
        <v>0</v>
      </c>
      <c r="H121" s="20" cm="1">
        <f t="array" ref="H121">IF($A121="","",
IF(AND($A121="INSUMO",$A$8="SEM DESONERAÇÃO"),_xlfn.LET(_xlpm.linha_insumo,MATCH($B121,'ISD'!$B:$B,0),_xlpm.coluna_uf,MATCH($B$8,'ISD'!$F$4:$AF$4,0),_xlpm.preco_uf,INDEX('ISD'!$F:$AF,_xlpm.linha_insumo,_xlpm.coluna_uf),IF(ISERROR(_xlpm.linha_insumo),"",IF(_xlpm.preco_uf&lt;&gt;0,0%,100%))),
IF(AND($A121="INSUMO",$A$8="COM DESONERAÇÃO"),_xlfn.LET(_xlpm.linha_insumo,MATCH($B121,'ICD'!$B:$B,0),_xlpm.coluna_uf,MATCH($B$8,'ICD'!$F$4:$AF$4,0),_xlpm.preco_uf,INDEX('ICD'!$F:$AF,_xlpm.linha_insumo,_xlpm.coluna_uf),IF(ISERROR(_xlpm.linha_insumo),"",IF(_xlpm.preco_uf&lt;&gt;0,0%,100%))),
IF(AND($A121="INSUMO",$A$8="SEM ENCARGOS SOCIAIS"),_xlfn.LET(_xlpm.linha_insumo,MATCH($B121,'ISE'!$B:$B,0),_xlpm.coluna_uf,MATCH($B$8,'ISE'!$F$10:$AF$10,0),_xlpm.preco_uf,INDEX('ISE'!$F:$AF,_xlpm.linha_insumo,_xlpm.coluna_uf),IF(ISERROR(_xlpm.linha_insumo),"",IF(_xlpm.preco_uf&lt;&gt;0,0%,100%))),
IF(AND($A121="COMPOSICAO",$A$8="SEM DESONERAÇÃO"),_xlfn.XLOOKUP($B121,'CSD'!B:B,OFFSET('CSD'!$D:$D,0,1+MATCH($B$8,'CSD'!$E$4:$BF$4,0)),0),
IF(AND($A121="COMPOSICAO",$A$8="COM DESONERAÇÃO"),_xlfn.XLOOKUP($B121,'CCD'!B:B,OFFSET('CCD'!$D:$D,0,1+MATCH($B$8,'CCD'!$E$4:$BF$4,0)),0),
IF(AND($A121="COMPOSICAO",$A$8="SEM ENCARGOS SOCIAIS"),_xlfn.XLOOKUP($B121,'CSE'!B:B,OFFSET('CSE'!$D:$D,0,1+MATCH($B$8,'CSE'!$E$9:$BF$9,0)),0),""
)))))))</f>
        <v>0</v>
      </c>
    </row>
    <row r="122" spans="6:8">
      <c r="F122" s="19" cm="1">
        <f t="array" ref="F122">IF($A122="","",
IF(AND($A122="INSUMO",$A$8="SEM DESONERAÇÃO"),_xlfn.LET(_xlpm.linha_insumo,MATCH($B122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_xlpm.preco_regional_as,INDEX($M:$M,MATCH($B122&amp;"_"&amp;$B$8,$K:$K,0)),
IF(ISERROR(_xlpm.linha_insumo),0,IF(_xlpm.preco_uf&lt;&gt;0,_xlpm.preco_uf,IF(ISNUMBER(_xlpm.preco_regional_as),_xlpm.preco_regional_as,_xlpm.preco_sp)))),
IF(AND($A122="INSUMO",$A$8="COM DESONERAÇÃO"),_xlfn.LET(_xlpm.linha_insumo,MATCH($B122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_xlpm.preco_regional_as,INDEX($N:$N,MATCH($B122&amp;"_"&amp;$B$8,$K:$K,0)),
IF(ISERROR(_xlpm.linha_insumo),0,IF(_xlpm.preco_uf&lt;&gt;0,_xlpm.preco_uf,IF(ISNUMBER(_xlpm.preco_regional_as),_xlpm.preco_regional_as,_xlpm.preco_sp)))),
IF(AND($A122="INSUMO",$A$8="SEM ENCARGOS SOCIAIS"),_xlfn.LET(_xlpm.linha_insumo,MATCH($B122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_xlpm.preco_regional_as,INDEX($L:$L,MATCH($B122&amp;"_"&amp;$B$8,$K:$K,0)),
IF(ISERROR(_xlpm.linha_insumo),0,IF(_xlpm.preco_uf&lt;&gt;0,_xlpm.preco_uf,IF(ISNUMBER(_xlpm.preco_regional_as),_xlpm.preco_regional_as,_xlpm.preco_sp)))),
IF(AND($A122="COMPOSICAO",$A$8="SEM DESONERAÇÃO"),_xlfn.XLOOKUP($B122,'CSD'!B:B,OFFSET('CSD'!$D:$D,0,MATCH($B$8,'CSD'!$E$4:$BF$4,0)),0),
IF(AND($A122="COMPOSICAO",$A$8="COM DESONERAÇÃO"),_xlfn.XLOOKUP($B122,'CCD'!B:B,OFFSET('CCD'!$D:$D,0,MATCH($B$8,'CCD'!$E$4:$BF$4,0)),0),
IF(AND($A122="COMPOSICAO",$A$8="SEM ENCARGOS SOCIAIS"),_xlfn.XLOOKUP($B122,'CSE'!B:B,OFFSET('CSE'!$D:$D,0,MATCH($B$8,'CSE'!$E$9:$BF$9,0)),0),""
)))))))</f>
        <v>0</v>
      </c>
      <c r="G122" s="19">
        <f>IF($A122="","",TRUNC(E122*F122,2))</f>
        <v>0</v>
      </c>
      <c r="H122" s="20" cm="1">
        <f t="array" ref="H122">IF($A122="","",
IF(AND($A122="INSUMO",$A$8="SEM DESONERAÇÃO"),_xlfn.LET(_xlpm.linha_insumo,MATCH($B122,'ISD'!$B:$B,0),_xlpm.coluna_uf,MATCH($B$8,'ISD'!$F$4:$AF$4,0),_xlpm.preco_uf,INDEX('ISD'!$F:$AF,_xlpm.linha_insumo,_xlpm.coluna_uf),IF(ISERROR(_xlpm.linha_insumo),"",IF(_xlpm.preco_uf&lt;&gt;0,0%,100%))),
IF(AND($A122="INSUMO",$A$8="COM DESONERAÇÃO"),_xlfn.LET(_xlpm.linha_insumo,MATCH($B122,'ICD'!$B:$B,0),_xlpm.coluna_uf,MATCH($B$8,'ICD'!$F$4:$AF$4,0),_xlpm.preco_uf,INDEX('ICD'!$F:$AF,_xlpm.linha_insumo,_xlpm.coluna_uf),IF(ISERROR(_xlpm.linha_insumo),"",IF(_xlpm.preco_uf&lt;&gt;0,0%,100%))),
IF(AND($A122="INSUMO",$A$8="SEM ENCARGOS SOCIAIS"),_xlfn.LET(_xlpm.linha_insumo,MATCH($B122,'ISE'!$B:$B,0),_xlpm.coluna_uf,MATCH($B$8,'ISE'!$F$10:$AF$10,0),_xlpm.preco_uf,INDEX('ISE'!$F:$AF,_xlpm.linha_insumo,_xlpm.coluna_uf),IF(ISERROR(_xlpm.linha_insumo),"",IF(_xlpm.preco_uf&lt;&gt;0,0%,100%))),
IF(AND($A122="COMPOSICAO",$A$8="SEM DESONERAÇÃO"),_xlfn.XLOOKUP($B122,'CSD'!B:B,OFFSET('CSD'!$D:$D,0,1+MATCH($B$8,'CSD'!$E$4:$BF$4,0)),0),
IF(AND($A122="COMPOSICAO",$A$8="COM DESONERAÇÃO"),_xlfn.XLOOKUP($B122,'CCD'!B:B,OFFSET('CCD'!$D:$D,0,1+MATCH($B$8,'CCD'!$E$4:$BF$4,0)),0),
IF(AND($A122="COMPOSICAO",$A$8="SEM ENCARGOS SOCIAIS"),_xlfn.XLOOKUP($B122,'CSE'!B:B,OFFSET('CSE'!$D:$D,0,1+MATCH($B$8,'CSE'!$E$9:$BF$9,0)),0),""
)))))))</f>
        <v>0</v>
      </c>
    </row>
    <row r="123" spans="6:8">
      <c r="F123" s="19" cm="1">
        <f t="array" ref="F123">IF($A123="","",
IF(AND($A123="INSUMO",$A$8="SEM DESONERAÇÃO"),_xlfn.LET(_xlpm.linha_insumo,MATCH($B123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_xlpm.preco_regional_as,INDEX($M:$M,MATCH($B123&amp;"_"&amp;$B$8,$K:$K,0)),
IF(ISERROR(_xlpm.linha_insumo),0,IF(_xlpm.preco_uf&lt;&gt;0,_xlpm.preco_uf,IF(ISNUMBER(_xlpm.preco_regional_as),_xlpm.preco_regional_as,_xlpm.preco_sp)))),
IF(AND($A123="INSUMO",$A$8="COM DESONERAÇÃO"),_xlfn.LET(_xlpm.linha_insumo,MATCH($B123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_xlpm.preco_regional_as,INDEX($N:$N,MATCH($B123&amp;"_"&amp;$B$8,$K:$K,0)),
IF(ISERROR(_xlpm.linha_insumo),0,IF(_xlpm.preco_uf&lt;&gt;0,_xlpm.preco_uf,IF(ISNUMBER(_xlpm.preco_regional_as),_xlpm.preco_regional_as,_xlpm.preco_sp)))),
IF(AND($A123="INSUMO",$A$8="SEM ENCARGOS SOCIAIS"),_xlfn.LET(_xlpm.linha_insumo,MATCH($B123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_xlpm.preco_regional_as,INDEX($L:$L,MATCH($B123&amp;"_"&amp;$B$8,$K:$K,0)),
IF(ISERROR(_xlpm.linha_insumo),0,IF(_xlpm.preco_uf&lt;&gt;0,_xlpm.preco_uf,IF(ISNUMBER(_xlpm.preco_regional_as),_xlpm.preco_regional_as,_xlpm.preco_sp)))),
IF(AND($A123="COMPOSICAO",$A$8="SEM DESONERAÇÃO"),_xlfn.XLOOKUP($B123,'CSD'!B:B,OFFSET('CSD'!$D:$D,0,MATCH($B$8,'CSD'!$E$4:$BF$4,0)),0),
IF(AND($A123="COMPOSICAO",$A$8="COM DESONERAÇÃO"),_xlfn.XLOOKUP($B123,'CCD'!B:B,OFFSET('CCD'!$D:$D,0,MATCH($B$8,'CCD'!$E$4:$BF$4,0)),0),
IF(AND($A123="COMPOSICAO",$A$8="SEM ENCARGOS SOCIAIS"),_xlfn.XLOOKUP($B123,'CSE'!B:B,OFFSET('CSE'!$D:$D,0,MATCH($B$8,'CSE'!$E$9:$BF$9,0)),0),""
)))))))</f>
        <v>0</v>
      </c>
      <c r="G123" s="19">
        <f>IF($A123="","",TRUNC(E123*F123,2))</f>
        <v>0</v>
      </c>
      <c r="H123" s="20" cm="1">
        <f t="array" ref="H123">IF($A123="","",
IF(AND($A123="INSUMO",$A$8="SEM DESONERAÇÃO"),_xlfn.LET(_xlpm.linha_insumo,MATCH($B123,'ISD'!$B:$B,0),_xlpm.coluna_uf,MATCH($B$8,'ISD'!$F$4:$AF$4,0),_xlpm.preco_uf,INDEX('ISD'!$F:$AF,_xlpm.linha_insumo,_xlpm.coluna_uf),IF(ISERROR(_xlpm.linha_insumo),"",IF(_xlpm.preco_uf&lt;&gt;0,0%,100%))),
IF(AND($A123="INSUMO",$A$8="COM DESONERAÇÃO"),_xlfn.LET(_xlpm.linha_insumo,MATCH($B123,'ICD'!$B:$B,0),_xlpm.coluna_uf,MATCH($B$8,'ICD'!$F$4:$AF$4,0),_xlpm.preco_uf,INDEX('ICD'!$F:$AF,_xlpm.linha_insumo,_xlpm.coluna_uf),IF(ISERROR(_xlpm.linha_insumo),"",IF(_xlpm.preco_uf&lt;&gt;0,0%,100%))),
IF(AND($A123="INSUMO",$A$8="SEM ENCARGOS SOCIAIS"),_xlfn.LET(_xlpm.linha_insumo,MATCH($B123,'ISE'!$B:$B,0),_xlpm.coluna_uf,MATCH($B$8,'ISE'!$F$10:$AF$10,0),_xlpm.preco_uf,INDEX('ISE'!$F:$AF,_xlpm.linha_insumo,_xlpm.coluna_uf),IF(ISERROR(_xlpm.linha_insumo),"",IF(_xlpm.preco_uf&lt;&gt;0,0%,100%))),
IF(AND($A123="COMPOSICAO",$A$8="SEM DESONERAÇÃO"),_xlfn.XLOOKUP($B123,'CSD'!B:B,OFFSET('CSD'!$D:$D,0,1+MATCH($B$8,'CSD'!$E$4:$BF$4,0)),0),
IF(AND($A123="COMPOSICAO",$A$8="COM DESONERAÇÃO"),_xlfn.XLOOKUP($B123,'CCD'!B:B,OFFSET('CCD'!$D:$D,0,1+MATCH($B$8,'CCD'!$E$4:$BF$4,0)),0),
IF(AND($A123="COMPOSICAO",$A$8="SEM ENCARGOS SOCIAIS"),_xlfn.XLOOKUP($B123,'CSE'!B:B,OFFSET('CSE'!$D:$D,0,1+MATCH($B$8,'CSE'!$E$9:$BF$9,0)),0),""
)))))))</f>
        <v>0</v>
      </c>
    </row>
    <row r="124" spans="6:8">
      <c r="F124" s="19" cm="1">
        <f t="array" ref="F124">IF($A124="","",
IF(AND($A124="INSUMO",$A$8="SEM DESONERAÇÃO"),_xlfn.LET(_xlpm.linha_insumo,MATCH($B124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_xlpm.preco_regional_as,INDEX($M:$M,MATCH($B124&amp;"_"&amp;$B$8,$K:$K,0)),
IF(ISERROR(_xlpm.linha_insumo),0,IF(_xlpm.preco_uf&lt;&gt;0,_xlpm.preco_uf,IF(ISNUMBER(_xlpm.preco_regional_as),_xlpm.preco_regional_as,_xlpm.preco_sp)))),
IF(AND($A124="INSUMO",$A$8="COM DESONERAÇÃO"),_xlfn.LET(_xlpm.linha_insumo,MATCH($B124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_xlpm.preco_regional_as,INDEX($N:$N,MATCH($B124&amp;"_"&amp;$B$8,$K:$K,0)),
IF(ISERROR(_xlpm.linha_insumo),0,IF(_xlpm.preco_uf&lt;&gt;0,_xlpm.preco_uf,IF(ISNUMBER(_xlpm.preco_regional_as),_xlpm.preco_regional_as,_xlpm.preco_sp)))),
IF(AND($A124="INSUMO",$A$8="SEM ENCARGOS SOCIAIS"),_xlfn.LET(_xlpm.linha_insumo,MATCH($B124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_xlpm.preco_regional_as,INDEX($L:$L,MATCH($B124&amp;"_"&amp;$B$8,$K:$K,0)),
IF(ISERROR(_xlpm.linha_insumo),0,IF(_xlpm.preco_uf&lt;&gt;0,_xlpm.preco_uf,IF(ISNUMBER(_xlpm.preco_regional_as),_xlpm.preco_regional_as,_xlpm.preco_sp)))),
IF(AND($A124="COMPOSICAO",$A$8="SEM DESONERAÇÃO"),_xlfn.XLOOKUP($B124,'CSD'!B:B,OFFSET('CSD'!$D:$D,0,MATCH($B$8,'CSD'!$E$4:$BF$4,0)),0),
IF(AND($A124="COMPOSICAO",$A$8="COM DESONERAÇÃO"),_xlfn.XLOOKUP($B124,'CCD'!B:B,OFFSET('CCD'!$D:$D,0,MATCH($B$8,'CCD'!$E$4:$BF$4,0)),0),
IF(AND($A124="COMPOSICAO",$A$8="SEM ENCARGOS SOCIAIS"),_xlfn.XLOOKUP($B124,'CSE'!B:B,OFFSET('CSE'!$D:$D,0,MATCH($B$8,'CSE'!$E$9:$BF$9,0)),0),""
)))))))</f>
        <v>0</v>
      </c>
      <c r="G124" s="19">
        <f>IF($A124="","",TRUNC(E124*F124,2))</f>
        <v>0</v>
      </c>
      <c r="H124" s="20" cm="1">
        <f t="array" ref="H124">IF($A124="","",
IF(AND($A124="INSUMO",$A$8="SEM DESONERAÇÃO"),_xlfn.LET(_xlpm.linha_insumo,MATCH($B124,'ISD'!$B:$B,0),_xlpm.coluna_uf,MATCH($B$8,'ISD'!$F$4:$AF$4,0),_xlpm.preco_uf,INDEX('ISD'!$F:$AF,_xlpm.linha_insumo,_xlpm.coluna_uf),IF(ISERROR(_xlpm.linha_insumo),"",IF(_xlpm.preco_uf&lt;&gt;0,0%,100%))),
IF(AND($A124="INSUMO",$A$8="COM DESONERAÇÃO"),_xlfn.LET(_xlpm.linha_insumo,MATCH($B124,'ICD'!$B:$B,0),_xlpm.coluna_uf,MATCH($B$8,'ICD'!$F$4:$AF$4,0),_xlpm.preco_uf,INDEX('ICD'!$F:$AF,_xlpm.linha_insumo,_xlpm.coluna_uf),IF(ISERROR(_xlpm.linha_insumo),"",IF(_xlpm.preco_uf&lt;&gt;0,0%,100%))),
IF(AND($A124="INSUMO",$A$8="SEM ENCARGOS SOCIAIS"),_xlfn.LET(_xlpm.linha_insumo,MATCH($B124,'ISE'!$B:$B,0),_xlpm.coluna_uf,MATCH($B$8,'ISE'!$F$10:$AF$10,0),_xlpm.preco_uf,INDEX('ISE'!$F:$AF,_xlpm.linha_insumo,_xlpm.coluna_uf),IF(ISERROR(_xlpm.linha_insumo),"",IF(_xlpm.preco_uf&lt;&gt;0,0%,100%))),
IF(AND($A124="COMPOSICAO",$A$8="SEM DESONERAÇÃO"),_xlfn.XLOOKUP($B124,'CSD'!B:B,OFFSET('CSD'!$D:$D,0,1+MATCH($B$8,'CSD'!$E$4:$BF$4,0)),0),
IF(AND($A124="COMPOSICAO",$A$8="COM DESONERAÇÃO"),_xlfn.XLOOKUP($B124,'CCD'!B:B,OFFSET('CCD'!$D:$D,0,1+MATCH($B$8,'CCD'!$E$4:$BF$4,0)),0),
IF(AND($A124="COMPOSICAO",$A$8="SEM ENCARGOS SOCIAIS"),_xlfn.XLOOKUP($B124,'CSE'!B:B,OFFSET('CSE'!$D:$D,0,1+MATCH($B$8,'CSE'!$E$9:$BF$9,0)),0),""
)))))))</f>
        <v>0</v>
      </c>
    </row>
    <row r="125" spans="6:8">
      <c r="F125" s="19" cm="1">
        <f t="array" ref="F125">IF($A125="","",
IF(AND($A125="INSUMO",$A$8="SEM DESONERAÇÃO"),_xlfn.LET(_xlpm.linha_insumo,MATCH($B125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_xlpm.preco_regional_as,INDEX($M:$M,MATCH($B125&amp;"_"&amp;$B$8,$K:$K,0)),
IF(ISERROR(_xlpm.linha_insumo),0,IF(_xlpm.preco_uf&lt;&gt;0,_xlpm.preco_uf,IF(ISNUMBER(_xlpm.preco_regional_as),_xlpm.preco_regional_as,_xlpm.preco_sp)))),
IF(AND($A125="INSUMO",$A$8="COM DESONERAÇÃO"),_xlfn.LET(_xlpm.linha_insumo,MATCH($B125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_xlpm.preco_regional_as,INDEX($N:$N,MATCH($B125&amp;"_"&amp;$B$8,$K:$K,0)),
IF(ISERROR(_xlpm.linha_insumo),0,IF(_xlpm.preco_uf&lt;&gt;0,_xlpm.preco_uf,IF(ISNUMBER(_xlpm.preco_regional_as),_xlpm.preco_regional_as,_xlpm.preco_sp)))),
IF(AND($A125="INSUMO",$A$8="SEM ENCARGOS SOCIAIS"),_xlfn.LET(_xlpm.linha_insumo,MATCH($B125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_xlpm.preco_regional_as,INDEX($L:$L,MATCH($B125&amp;"_"&amp;$B$8,$K:$K,0)),
IF(ISERROR(_xlpm.linha_insumo),0,IF(_xlpm.preco_uf&lt;&gt;0,_xlpm.preco_uf,IF(ISNUMBER(_xlpm.preco_regional_as),_xlpm.preco_regional_as,_xlpm.preco_sp)))),
IF(AND($A125="COMPOSICAO",$A$8="SEM DESONERAÇÃO"),_xlfn.XLOOKUP($B125,'CSD'!B:B,OFFSET('CSD'!$D:$D,0,MATCH($B$8,'CSD'!$E$4:$BF$4,0)),0),
IF(AND($A125="COMPOSICAO",$A$8="COM DESONERAÇÃO"),_xlfn.XLOOKUP($B125,'CCD'!B:B,OFFSET('CCD'!$D:$D,0,MATCH($B$8,'CCD'!$E$4:$BF$4,0)),0),
IF(AND($A125="COMPOSICAO",$A$8="SEM ENCARGOS SOCIAIS"),_xlfn.XLOOKUP($B125,'CSE'!B:B,OFFSET('CSE'!$D:$D,0,MATCH($B$8,'CSE'!$E$9:$BF$9,0)),0),""
)))))))</f>
        <v>0</v>
      </c>
      <c r="G125" s="19">
        <f>IF($A125="","",TRUNC(E125*F125,2))</f>
        <v>0</v>
      </c>
      <c r="H125" s="20" cm="1">
        <f t="array" ref="H125">IF($A125="","",
IF(AND($A125="INSUMO",$A$8="SEM DESONERAÇÃO"),_xlfn.LET(_xlpm.linha_insumo,MATCH($B125,'ISD'!$B:$B,0),_xlpm.coluna_uf,MATCH($B$8,'ISD'!$F$4:$AF$4,0),_xlpm.preco_uf,INDEX('ISD'!$F:$AF,_xlpm.linha_insumo,_xlpm.coluna_uf),IF(ISERROR(_xlpm.linha_insumo),"",IF(_xlpm.preco_uf&lt;&gt;0,0%,100%))),
IF(AND($A125="INSUMO",$A$8="COM DESONERAÇÃO"),_xlfn.LET(_xlpm.linha_insumo,MATCH($B125,'ICD'!$B:$B,0),_xlpm.coluna_uf,MATCH($B$8,'ICD'!$F$4:$AF$4,0),_xlpm.preco_uf,INDEX('ICD'!$F:$AF,_xlpm.linha_insumo,_xlpm.coluna_uf),IF(ISERROR(_xlpm.linha_insumo),"",IF(_xlpm.preco_uf&lt;&gt;0,0%,100%))),
IF(AND($A125="INSUMO",$A$8="SEM ENCARGOS SOCIAIS"),_xlfn.LET(_xlpm.linha_insumo,MATCH($B125,'ISE'!$B:$B,0),_xlpm.coluna_uf,MATCH($B$8,'ISE'!$F$10:$AF$10,0),_xlpm.preco_uf,INDEX('ISE'!$F:$AF,_xlpm.linha_insumo,_xlpm.coluna_uf),IF(ISERROR(_xlpm.linha_insumo),"",IF(_xlpm.preco_uf&lt;&gt;0,0%,100%))),
IF(AND($A125="COMPOSICAO",$A$8="SEM DESONERAÇÃO"),_xlfn.XLOOKUP($B125,'CSD'!B:B,OFFSET('CSD'!$D:$D,0,1+MATCH($B$8,'CSD'!$E$4:$BF$4,0)),0),
IF(AND($A125="COMPOSICAO",$A$8="COM DESONERAÇÃO"),_xlfn.XLOOKUP($B125,'CCD'!B:B,OFFSET('CCD'!$D:$D,0,1+MATCH($B$8,'CCD'!$E$4:$BF$4,0)),0),
IF(AND($A125="COMPOSICAO",$A$8="SEM ENCARGOS SOCIAIS"),_xlfn.XLOOKUP($B125,'CSE'!B:B,OFFSET('CSE'!$D:$D,0,1+MATCH($B$8,'CSE'!$E$9:$BF$9,0)),0),""
)))))))</f>
        <v>0</v>
      </c>
    </row>
    <row r="126" spans="6:8">
      <c r="F126" s="19" cm="1">
        <f t="array" ref="F126">IF($A126="","",
IF(AND($A126="INSUMO",$A$8="SEM DESONERAÇÃO"),_xlfn.LET(_xlpm.linha_insumo,MATCH($B126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_xlpm.preco_regional_as,INDEX($M:$M,MATCH($B126&amp;"_"&amp;$B$8,$K:$K,0)),
IF(ISERROR(_xlpm.linha_insumo),0,IF(_xlpm.preco_uf&lt;&gt;0,_xlpm.preco_uf,IF(ISNUMBER(_xlpm.preco_regional_as),_xlpm.preco_regional_as,_xlpm.preco_sp)))),
IF(AND($A126="INSUMO",$A$8="COM DESONERAÇÃO"),_xlfn.LET(_xlpm.linha_insumo,MATCH($B126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_xlpm.preco_regional_as,INDEX($N:$N,MATCH($B126&amp;"_"&amp;$B$8,$K:$K,0)),
IF(ISERROR(_xlpm.linha_insumo),0,IF(_xlpm.preco_uf&lt;&gt;0,_xlpm.preco_uf,IF(ISNUMBER(_xlpm.preco_regional_as),_xlpm.preco_regional_as,_xlpm.preco_sp)))),
IF(AND($A126="INSUMO",$A$8="SEM ENCARGOS SOCIAIS"),_xlfn.LET(_xlpm.linha_insumo,MATCH($B126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_xlpm.preco_regional_as,INDEX($L:$L,MATCH($B126&amp;"_"&amp;$B$8,$K:$K,0)),
IF(ISERROR(_xlpm.linha_insumo),0,IF(_xlpm.preco_uf&lt;&gt;0,_xlpm.preco_uf,IF(ISNUMBER(_xlpm.preco_regional_as),_xlpm.preco_regional_as,_xlpm.preco_sp)))),
IF(AND($A126="COMPOSICAO",$A$8="SEM DESONERAÇÃO"),_xlfn.XLOOKUP($B126,'CSD'!B:B,OFFSET('CSD'!$D:$D,0,MATCH($B$8,'CSD'!$E$4:$BF$4,0)),0),
IF(AND($A126="COMPOSICAO",$A$8="COM DESONERAÇÃO"),_xlfn.XLOOKUP($B126,'CCD'!B:B,OFFSET('CCD'!$D:$D,0,MATCH($B$8,'CCD'!$E$4:$BF$4,0)),0),
IF(AND($A126="COMPOSICAO",$A$8="SEM ENCARGOS SOCIAIS"),_xlfn.XLOOKUP($B126,'CSE'!B:B,OFFSET('CSE'!$D:$D,0,MATCH($B$8,'CSE'!$E$9:$BF$9,0)),0),""
)))))))</f>
        <v>0</v>
      </c>
      <c r="G126" s="19">
        <f>IF($A126="","",TRUNC(E126*F126,2))</f>
        <v>0</v>
      </c>
      <c r="H126" s="20" cm="1">
        <f t="array" ref="H126">IF($A126="","",
IF(AND($A126="INSUMO",$A$8="SEM DESONERAÇÃO"),_xlfn.LET(_xlpm.linha_insumo,MATCH($B126,'ISD'!$B:$B,0),_xlpm.coluna_uf,MATCH($B$8,'ISD'!$F$4:$AF$4,0),_xlpm.preco_uf,INDEX('ISD'!$F:$AF,_xlpm.linha_insumo,_xlpm.coluna_uf),IF(ISERROR(_xlpm.linha_insumo),"",IF(_xlpm.preco_uf&lt;&gt;0,0%,100%))),
IF(AND($A126="INSUMO",$A$8="COM DESONERAÇÃO"),_xlfn.LET(_xlpm.linha_insumo,MATCH($B126,'ICD'!$B:$B,0),_xlpm.coluna_uf,MATCH($B$8,'ICD'!$F$4:$AF$4,0),_xlpm.preco_uf,INDEX('ICD'!$F:$AF,_xlpm.linha_insumo,_xlpm.coluna_uf),IF(ISERROR(_xlpm.linha_insumo),"",IF(_xlpm.preco_uf&lt;&gt;0,0%,100%))),
IF(AND($A126="INSUMO",$A$8="SEM ENCARGOS SOCIAIS"),_xlfn.LET(_xlpm.linha_insumo,MATCH($B126,'ISE'!$B:$B,0),_xlpm.coluna_uf,MATCH($B$8,'ISE'!$F$10:$AF$10,0),_xlpm.preco_uf,INDEX('ISE'!$F:$AF,_xlpm.linha_insumo,_xlpm.coluna_uf),IF(ISERROR(_xlpm.linha_insumo),"",IF(_xlpm.preco_uf&lt;&gt;0,0%,100%))),
IF(AND($A126="COMPOSICAO",$A$8="SEM DESONERAÇÃO"),_xlfn.XLOOKUP($B126,'CSD'!B:B,OFFSET('CSD'!$D:$D,0,1+MATCH($B$8,'CSD'!$E$4:$BF$4,0)),0),
IF(AND($A126="COMPOSICAO",$A$8="COM DESONERAÇÃO"),_xlfn.XLOOKUP($B126,'CCD'!B:B,OFFSET('CCD'!$D:$D,0,1+MATCH($B$8,'CCD'!$E$4:$BF$4,0)),0),
IF(AND($A126="COMPOSICAO",$A$8="SEM ENCARGOS SOCIAIS"),_xlfn.XLOOKUP($B126,'CSE'!B:B,OFFSET('CSE'!$D:$D,0,1+MATCH($B$8,'CSE'!$E$9:$BF$9,0)),0),""
)))))))</f>
        <v>0</v>
      </c>
    </row>
    <row r="127" spans="6:8">
      <c r="F127" s="19" cm="1">
        <f t="array" ref="F127">IF($A127="","",
IF(AND($A127="INSUMO",$A$8="SEM DESONERAÇÃO"),_xlfn.LET(_xlpm.linha_insumo,MATCH($B127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_xlpm.preco_regional_as,INDEX($M:$M,MATCH($B127&amp;"_"&amp;$B$8,$K:$K,0)),
IF(ISERROR(_xlpm.linha_insumo),0,IF(_xlpm.preco_uf&lt;&gt;0,_xlpm.preco_uf,IF(ISNUMBER(_xlpm.preco_regional_as),_xlpm.preco_regional_as,_xlpm.preco_sp)))),
IF(AND($A127="INSUMO",$A$8="COM DESONERAÇÃO"),_xlfn.LET(_xlpm.linha_insumo,MATCH($B127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_xlpm.preco_regional_as,INDEX($N:$N,MATCH($B127&amp;"_"&amp;$B$8,$K:$K,0)),
IF(ISERROR(_xlpm.linha_insumo),0,IF(_xlpm.preco_uf&lt;&gt;0,_xlpm.preco_uf,IF(ISNUMBER(_xlpm.preco_regional_as),_xlpm.preco_regional_as,_xlpm.preco_sp)))),
IF(AND($A127="INSUMO",$A$8="SEM ENCARGOS SOCIAIS"),_xlfn.LET(_xlpm.linha_insumo,MATCH($B127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_xlpm.preco_regional_as,INDEX($L:$L,MATCH($B127&amp;"_"&amp;$B$8,$K:$K,0)),
IF(ISERROR(_xlpm.linha_insumo),0,IF(_xlpm.preco_uf&lt;&gt;0,_xlpm.preco_uf,IF(ISNUMBER(_xlpm.preco_regional_as),_xlpm.preco_regional_as,_xlpm.preco_sp)))),
IF(AND($A127="COMPOSICAO",$A$8="SEM DESONERAÇÃO"),_xlfn.XLOOKUP($B127,'CSD'!B:B,OFFSET('CSD'!$D:$D,0,MATCH($B$8,'CSD'!$E$4:$BF$4,0)),0),
IF(AND($A127="COMPOSICAO",$A$8="COM DESONERAÇÃO"),_xlfn.XLOOKUP($B127,'CCD'!B:B,OFFSET('CCD'!$D:$D,0,MATCH($B$8,'CCD'!$E$4:$BF$4,0)),0),
IF(AND($A127="COMPOSICAO",$A$8="SEM ENCARGOS SOCIAIS"),_xlfn.XLOOKUP($B127,'CSE'!B:B,OFFSET('CSE'!$D:$D,0,MATCH($B$8,'CSE'!$E$9:$BF$9,0)),0),""
)))))))</f>
        <v>0</v>
      </c>
      <c r="G127" s="19">
        <f>IF($A127="","",TRUNC(E127*F127,2))</f>
        <v>0</v>
      </c>
      <c r="H127" s="20" cm="1">
        <f t="array" ref="H127">IF($A127="","",
IF(AND($A127="INSUMO",$A$8="SEM DESONERAÇÃO"),_xlfn.LET(_xlpm.linha_insumo,MATCH($B127,'ISD'!$B:$B,0),_xlpm.coluna_uf,MATCH($B$8,'ISD'!$F$4:$AF$4,0),_xlpm.preco_uf,INDEX('ISD'!$F:$AF,_xlpm.linha_insumo,_xlpm.coluna_uf),IF(ISERROR(_xlpm.linha_insumo),"",IF(_xlpm.preco_uf&lt;&gt;0,0%,100%))),
IF(AND($A127="INSUMO",$A$8="COM DESONERAÇÃO"),_xlfn.LET(_xlpm.linha_insumo,MATCH($B127,'ICD'!$B:$B,0),_xlpm.coluna_uf,MATCH($B$8,'ICD'!$F$4:$AF$4,0),_xlpm.preco_uf,INDEX('ICD'!$F:$AF,_xlpm.linha_insumo,_xlpm.coluna_uf),IF(ISERROR(_xlpm.linha_insumo),"",IF(_xlpm.preco_uf&lt;&gt;0,0%,100%))),
IF(AND($A127="INSUMO",$A$8="SEM ENCARGOS SOCIAIS"),_xlfn.LET(_xlpm.linha_insumo,MATCH($B127,'ISE'!$B:$B,0),_xlpm.coluna_uf,MATCH($B$8,'ISE'!$F$10:$AF$10,0),_xlpm.preco_uf,INDEX('ISE'!$F:$AF,_xlpm.linha_insumo,_xlpm.coluna_uf),IF(ISERROR(_xlpm.linha_insumo),"",IF(_xlpm.preco_uf&lt;&gt;0,0%,100%))),
IF(AND($A127="COMPOSICAO",$A$8="SEM DESONERAÇÃO"),_xlfn.XLOOKUP($B127,'CSD'!B:B,OFFSET('CSD'!$D:$D,0,1+MATCH($B$8,'CSD'!$E$4:$BF$4,0)),0),
IF(AND($A127="COMPOSICAO",$A$8="COM DESONERAÇÃO"),_xlfn.XLOOKUP($B127,'CCD'!B:B,OFFSET('CCD'!$D:$D,0,1+MATCH($B$8,'CCD'!$E$4:$BF$4,0)),0),
IF(AND($A127="COMPOSICAO",$A$8="SEM ENCARGOS SOCIAIS"),_xlfn.XLOOKUP($B127,'CSE'!B:B,OFFSET('CSE'!$D:$D,0,1+MATCH($B$8,'CSE'!$E$9:$BF$9,0)),0),""
)))))))</f>
        <v>0</v>
      </c>
    </row>
    <row r="128" spans="6:8">
      <c r="F128" s="19" cm="1">
        <f t="array" ref="F128">IF($A128="","",
IF(AND($A128="INSUMO",$A$8="SEM DESONERAÇÃO"),_xlfn.LET(_xlpm.linha_insumo,MATCH($B128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_xlpm.preco_regional_as,INDEX($M:$M,MATCH($B128&amp;"_"&amp;$B$8,$K:$K,0)),
IF(ISERROR(_xlpm.linha_insumo),0,IF(_xlpm.preco_uf&lt;&gt;0,_xlpm.preco_uf,IF(ISNUMBER(_xlpm.preco_regional_as),_xlpm.preco_regional_as,_xlpm.preco_sp)))),
IF(AND($A128="INSUMO",$A$8="COM DESONERAÇÃO"),_xlfn.LET(_xlpm.linha_insumo,MATCH($B128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_xlpm.preco_regional_as,INDEX($N:$N,MATCH($B128&amp;"_"&amp;$B$8,$K:$K,0)),
IF(ISERROR(_xlpm.linha_insumo),0,IF(_xlpm.preco_uf&lt;&gt;0,_xlpm.preco_uf,IF(ISNUMBER(_xlpm.preco_regional_as),_xlpm.preco_regional_as,_xlpm.preco_sp)))),
IF(AND($A128="INSUMO",$A$8="SEM ENCARGOS SOCIAIS"),_xlfn.LET(_xlpm.linha_insumo,MATCH($B128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_xlpm.preco_regional_as,INDEX($L:$L,MATCH($B128&amp;"_"&amp;$B$8,$K:$K,0)),
IF(ISERROR(_xlpm.linha_insumo),0,IF(_xlpm.preco_uf&lt;&gt;0,_xlpm.preco_uf,IF(ISNUMBER(_xlpm.preco_regional_as),_xlpm.preco_regional_as,_xlpm.preco_sp)))),
IF(AND($A128="COMPOSICAO",$A$8="SEM DESONERAÇÃO"),_xlfn.XLOOKUP($B128,'CSD'!B:B,OFFSET('CSD'!$D:$D,0,MATCH($B$8,'CSD'!$E$4:$BF$4,0)),0),
IF(AND($A128="COMPOSICAO",$A$8="COM DESONERAÇÃO"),_xlfn.XLOOKUP($B128,'CCD'!B:B,OFFSET('CCD'!$D:$D,0,MATCH($B$8,'CCD'!$E$4:$BF$4,0)),0),
IF(AND($A128="COMPOSICAO",$A$8="SEM ENCARGOS SOCIAIS"),_xlfn.XLOOKUP($B128,'CSE'!B:B,OFFSET('CSE'!$D:$D,0,MATCH($B$8,'CSE'!$E$9:$BF$9,0)),0),""
)))))))</f>
        <v>0</v>
      </c>
      <c r="G128" s="19">
        <f>IF($A128="","",TRUNC(E128*F128,2))</f>
        <v>0</v>
      </c>
      <c r="H128" s="20" cm="1">
        <f t="array" ref="H128">IF($A128="","",
IF(AND($A128="INSUMO",$A$8="SEM DESONERAÇÃO"),_xlfn.LET(_xlpm.linha_insumo,MATCH($B128,'ISD'!$B:$B,0),_xlpm.coluna_uf,MATCH($B$8,'ISD'!$F$4:$AF$4,0),_xlpm.preco_uf,INDEX('ISD'!$F:$AF,_xlpm.linha_insumo,_xlpm.coluna_uf),IF(ISERROR(_xlpm.linha_insumo),"",IF(_xlpm.preco_uf&lt;&gt;0,0%,100%))),
IF(AND($A128="INSUMO",$A$8="COM DESONERAÇÃO"),_xlfn.LET(_xlpm.linha_insumo,MATCH($B128,'ICD'!$B:$B,0),_xlpm.coluna_uf,MATCH($B$8,'ICD'!$F$4:$AF$4,0),_xlpm.preco_uf,INDEX('ICD'!$F:$AF,_xlpm.linha_insumo,_xlpm.coluna_uf),IF(ISERROR(_xlpm.linha_insumo),"",IF(_xlpm.preco_uf&lt;&gt;0,0%,100%))),
IF(AND($A128="INSUMO",$A$8="SEM ENCARGOS SOCIAIS"),_xlfn.LET(_xlpm.linha_insumo,MATCH($B128,'ISE'!$B:$B,0),_xlpm.coluna_uf,MATCH($B$8,'ISE'!$F$10:$AF$10,0),_xlpm.preco_uf,INDEX('ISE'!$F:$AF,_xlpm.linha_insumo,_xlpm.coluna_uf),IF(ISERROR(_xlpm.linha_insumo),"",IF(_xlpm.preco_uf&lt;&gt;0,0%,100%))),
IF(AND($A128="COMPOSICAO",$A$8="SEM DESONERAÇÃO"),_xlfn.XLOOKUP($B128,'CSD'!B:B,OFFSET('CSD'!$D:$D,0,1+MATCH($B$8,'CSD'!$E$4:$BF$4,0)),0),
IF(AND($A128="COMPOSICAO",$A$8="COM DESONERAÇÃO"),_xlfn.XLOOKUP($B128,'CCD'!B:B,OFFSET('CCD'!$D:$D,0,1+MATCH($B$8,'CCD'!$E$4:$BF$4,0)),0),
IF(AND($A128="COMPOSICAO",$A$8="SEM ENCARGOS SOCIAIS"),_xlfn.XLOOKUP($B128,'CSE'!B:B,OFFSET('CSE'!$D:$D,0,1+MATCH($B$8,'CSE'!$E$9:$BF$9,0)),0),""
)))))))</f>
        <v>0</v>
      </c>
    </row>
    <row r="129" spans="6:8">
      <c r="F129" s="19" cm="1">
        <f t="array" ref="F129">IF($A129="","",
IF(AND($A129="INSUMO",$A$8="SEM DESONERAÇÃO"),_xlfn.LET(_xlpm.linha_insumo,MATCH($B129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_xlpm.preco_regional_as,INDEX($M:$M,MATCH($B129&amp;"_"&amp;$B$8,$K:$K,0)),
IF(ISERROR(_xlpm.linha_insumo),0,IF(_xlpm.preco_uf&lt;&gt;0,_xlpm.preco_uf,IF(ISNUMBER(_xlpm.preco_regional_as),_xlpm.preco_regional_as,_xlpm.preco_sp)))),
IF(AND($A129="INSUMO",$A$8="COM DESONERAÇÃO"),_xlfn.LET(_xlpm.linha_insumo,MATCH($B129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_xlpm.preco_regional_as,INDEX($N:$N,MATCH($B129&amp;"_"&amp;$B$8,$K:$K,0)),
IF(ISERROR(_xlpm.linha_insumo),0,IF(_xlpm.preco_uf&lt;&gt;0,_xlpm.preco_uf,IF(ISNUMBER(_xlpm.preco_regional_as),_xlpm.preco_regional_as,_xlpm.preco_sp)))),
IF(AND($A129="INSUMO",$A$8="SEM ENCARGOS SOCIAIS"),_xlfn.LET(_xlpm.linha_insumo,MATCH($B129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_xlpm.preco_regional_as,INDEX($L:$L,MATCH($B129&amp;"_"&amp;$B$8,$K:$K,0)),
IF(ISERROR(_xlpm.linha_insumo),0,IF(_xlpm.preco_uf&lt;&gt;0,_xlpm.preco_uf,IF(ISNUMBER(_xlpm.preco_regional_as),_xlpm.preco_regional_as,_xlpm.preco_sp)))),
IF(AND($A129="COMPOSICAO",$A$8="SEM DESONERAÇÃO"),_xlfn.XLOOKUP($B129,'CSD'!B:B,OFFSET('CSD'!$D:$D,0,MATCH($B$8,'CSD'!$E$4:$BF$4,0)),0),
IF(AND($A129="COMPOSICAO",$A$8="COM DESONERAÇÃO"),_xlfn.XLOOKUP($B129,'CCD'!B:B,OFFSET('CCD'!$D:$D,0,MATCH($B$8,'CCD'!$E$4:$BF$4,0)),0),
IF(AND($A129="COMPOSICAO",$A$8="SEM ENCARGOS SOCIAIS"),_xlfn.XLOOKUP($B129,'CSE'!B:B,OFFSET('CSE'!$D:$D,0,MATCH($B$8,'CSE'!$E$9:$BF$9,0)),0),""
)))))))</f>
        <v>0</v>
      </c>
      <c r="G129" s="19">
        <f>IF($A129="","",TRUNC(E129*F129,2))</f>
        <v>0</v>
      </c>
      <c r="H129" s="20" cm="1">
        <f t="array" ref="H129">IF($A129="","",
IF(AND($A129="INSUMO",$A$8="SEM DESONERAÇÃO"),_xlfn.LET(_xlpm.linha_insumo,MATCH($B129,'ISD'!$B:$B,0),_xlpm.coluna_uf,MATCH($B$8,'ISD'!$F$4:$AF$4,0),_xlpm.preco_uf,INDEX('ISD'!$F:$AF,_xlpm.linha_insumo,_xlpm.coluna_uf),IF(ISERROR(_xlpm.linha_insumo),"",IF(_xlpm.preco_uf&lt;&gt;0,0%,100%))),
IF(AND($A129="INSUMO",$A$8="COM DESONERAÇÃO"),_xlfn.LET(_xlpm.linha_insumo,MATCH($B129,'ICD'!$B:$B,0),_xlpm.coluna_uf,MATCH($B$8,'ICD'!$F$4:$AF$4,0),_xlpm.preco_uf,INDEX('ICD'!$F:$AF,_xlpm.linha_insumo,_xlpm.coluna_uf),IF(ISERROR(_xlpm.linha_insumo),"",IF(_xlpm.preco_uf&lt;&gt;0,0%,100%))),
IF(AND($A129="INSUMO",$A$8="SEM ENCARGOS SOCIAIS"),_xlfn.LET(_xlpm.linha_insumo,MATCH($B129,'ISE'!$B:$B,0),_xlpm.coluna_uf,MATCH($B$8,'ISE'!$F$10:$AF$10,0),_xlpm.preco_uf,INDEX('ISE'!$F:$AF,_xlpm.linha_insumo,_xlpm.coluna_uf),IF(ISERROR(_xlpm.linha_insumo),"",IF(_xlpm.preco_uf&lt;&gt;0,0%,100%))),
IF(AND($A129="COMPOSICAO",$A$8="SEM DESONERAÇÃO"),_xlfn.XLOOKUP($B129,'CSD'!B:B,OFFSET('CSD'!$D:$D,0,1+MATCH($B$8,'CSD'!$E$4:$BF$4,0)),0),
IF(AND($A129="COMPOSICAO",$A$8="COM DESONERAÇÃO"),_xlfn.XLOOKUP($B129,'CCD'!B:B,OFFSET('CCD'!$D:$D,0,1+MATCH($B$8,'CCD'!$E$4:$BF$4,0)),0),
IF(AND($A129="COMPOSICAO",$A$8="SEM ENCARGOS SOCIAIS"),_xlfn.XLOOKUP($B129,'CSE'!B:B,OFFSET('CSE'!$D:$D,0,1+MATCH($B$8,'CSE'!$E$9:$BF$9,0)),0),""
)))))))</f>
        <v>0</v>
      </c>
    </row>
    <row r="130" spans="6:8">
      <c r="F130" s="19" cm="1">
        <f t="array" ref="F130">IF($A130="","",
IF(AND($A130="INSUMO",$A$8="SEM DESONERAÇÃO"),_xlfn.LET(_xlpm.linha_insumo,MATCH($B130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_xlpm.preco_regional_as,INDEX($M:$M,MATCH($B130&amp;"_"&amp;$B$8,$K:$K,0)),
IF(ISERROR(_xlpm.linha_insumo),0,IF(_xlpm.preco_uf&lt;&gt;0,_xlpm.preco_uf,IF(ISNUMBER(_xlpm.preco_regional_as),_xlpm.preco_regional_as,_xlpm.preco_sp)))),
IF(AND($A130="INSUMO",$A$8="COM DESONERAÇÃO"),_xlfn.LET(_xlpm.linha_insumo,MATCH($B130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_xlpm.preco_regional_as,INDEX($N:$N,MATCH($B130&amp;"_"&amp;$B$8,$K:$K,0)),
IF(ISERROR(_xlpm.linha_insumo),0,IF(_xlpm.preco_uf&lt;&gt;0,_xlpm.preco_uf,IF(ISNUMBER(_xlpm.preco_regional_as),_xlpm.preco_regional_as,_xlpm.preco_sp)))),
IF(AND($A130="INSUMO",$A$8="SEM ENCARGOS SOCIAIS"),_xlfn.LET(_xlpm.linha_insumo,MATCH($B130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_xlpm.preco_regional_as,INDEX($L:$L,MATCH($B130&amp;"_"&amp;$B$8,$K:$K,0)),
IF(ISERROR(_xlpm.linha_insumo),0,IF(_xlpm.preco_uf&lt;&gt;0,_xlpm.preco_uf,IF(ISNUMBER(_xlpm.preco_regional_as),_xlpm.preco_regional_as,_xlpm.preco_sp)))),
IF(AND($A130="COMPOSICAO",$A$8="SEM DESONERAÇÃO"),_xlfn.XLOOKUP($B130,'CSD'!B:B,OFFSET('CSD'!$D:$D,0,MATCH($B$8,'CSD'!$E$4:$BF$4,0)),0),
IF(AND($A130="COMPOSICAO",$A$8="COM DESONERAÇÃO"),_xlfn.XLOOKUP($B130,'CCD'!B:B,OFFSET('CCD'!$D:$D,0,MATCH($B$8,'CCD'!$E$4:$BF$4,0)),0),
IF(AND($A130="COMPOSICAO",$A$8="SEM ENCARGOS SOCIAIS"),_xlfn.XLOOKUP($B130,'CSE'!B:B,OFFSET('CSE'!$D:$D,0,MATCH($B$8,'CSE'!$E$9:$BF$9,0)),0),""
)))))))</f>
        <v>0</v>
      </c>
      <c r="G130" s="19">
        <f>IF($A130="","",TRUNC(E130*F130,2))</f>
        <v>0</v>
      </c>
      <c r="H130" s="20" cm="1">
        <f t="array" ref="H130">IF($A130="","",
IF(AND($A130="INSUMO",$A$8="SEM DESONERAÇÃO"),_xlfn.LET(_xlpm.linha_insumo,MATCH($B130,'ISD'!$B:$B,0),_xlpm.coluna_uf,MATCH($B$8,'ISD'!$F$4:$AF$4,0),_xlpm.preco_uf,INDEX('ISD'!$F:$AF,_xlpm.linha_insumo,_xlpm.coluna_uf),IF(ISERROR(_xlpm.linha_insumo),"",IF(_xlpm.preco_uf&lt;&gt;0,0%,100%))),
IF(AND($A130="INSUMO",$A$8="COM DESONERAÇÃO"),_xlfn.LET(_xlpm.linha_insumo,MATCH($B130,'ICD'!$B:$B,0),_xlpm.coluna_uf,MATCH($B$8,'ICD'!$F$4:$AF$4,0),_xlpm.preco_uf,INDEX('ICD'!$F:$AF,_xlpm.linha_insumo,_xlpm.coluna_uf),IF(ISERROR(_xlpm.linha_insumo),"",IF(_xlpm.preco_uf&lt;&gt;0,0%,100%))),
IF(AND($A130="INSUMO",$A$8="SEM ENCARGOS SOCIAIS"),_xlfn.LET(_xlpm.linha_insumo,MATCH($B130,'ISE'!$B:$B,0),_xlpm.coluna_uf,MATCH($B$8,'ISE'!$F$10:$AF$10,0),_xlpm.preco_uf,INDEX('ISE'!$F:$AF,_xlpm.linha_insumo,_xlpm.coluna_uf),IF(ISERROR(_xlpm.linha_insumo),"",IF(_xlpm.preco_uf&lt;&gt;0,0%,100%))),
IF(AND($A130="COMPOSICAO",$A$8="SEM DESONERAÇÃO"),_xlfn.XLOOKUP($B130,'CSD'!B:B,OFFSET('CSD'!$D:$D,0,1+MATCH($B$8,'CSD'!$E$4:$BF$4,0)),0),
IF(AND($A130="COMPOSICAO",$A$8="COM DESONERAÇÃO"),_xlfn.XLOOKUP($B130,'CCD'!B:B,OFFSET('CCD'!$D:$D,0,1+MATCH($B$8,'CCD'!$E$4:$BF$4,0)),0),
IF(AND($A130="COMPOSICAO",$A$8="SEM ENCARGOS SOCIAIS"),_xlfn.XLOOKUP($B130,'CSE'!B:B,OFFSET('CSE'!$D:$D,0,1+MATCH($B$8,'CSE'!$E$9:$BF$9,0)),0),""
)))))))</f>
        <v>0</v>
      </c>
    </row>
    <row r="131" spans="6:8">
      <c r="F131" s="19" cm="1">
        <f t="array" ref="F131">IF($A131="","",
IF(AND($A131="INSUMO",$A$8="SEM DESONERAÇÃO"),_xlfn.LET(_xlpm.linha_insumo,MATCH($B131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_xlpm.preco_regional_as,INDEX($M:$M,MATCH($B131&amp;"_"&amp;$B$8,$K:$K,0)),
IF(ISERROR(_xlpm.linha_insumo),0,IF(_xlpm.preco_uf&lt;&gt;0,_xlpm.preco_uf,IF(ISNUMBER(_xlpm.preco_regional_as),_xlpm.preco_regional_as,_xlpm.preco_sp)))),
IF(AND($A131="INSUMO",$A$8="COM DESONERAÇÃO"),_xlfn.LET(_xlpm.linha_insumo,MATCH($B131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_xlpm.preco_regional_as,INDEX($N:$N,MATCH($B131&amp;"_"&amp;$B$8,$K:$K,0)),
IF(ISERROR(_xlpm.linha_insumo),0,IF(_xlpm.preco_uf&lt;&gt;0,_xlpm.preco_uf,IF(ISNUMBER(_xlpm.preco_regional_as),_xlpm.preco_regional_as,_xlpm.preco_sp)))),
IF(AND($A131="INSUMO",$A$8="SEM ENCARGOS SOCIAIS"),_xlfn.LET(_xlpm.linha_insumo,MATCH($B131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_xlpm.preco_regional_as,INDEX($L:$L,MATCH($B131&amp;"_"&amp;$B$8,$K:$K,0)),
IF(ISERROR(_xlpm.linha_insumo),0,IF(_xlpm.preco_uf&lt;&gt;0,_xlpm.preco_uf,IF(ISNUMBER(_xlpm.preco_regional_as),_xlpm.preco_regional_as,_xlpm.preco_sp)))),
IF(AND($A131="COMPOSICAO",$A$8="SEM DESONERAÇÃO"),_xlfn.XLOOKUP($B131,'CSD'!B:B,OFFSET('CSD'!$D:$D,0,MATCH($B$8,'CSD'!$E$4:$BF$4,0)),0),
IF(AND($A131="COMPOSICAO",$A$8="COM DESONERAÇÃO"),_xlfn.XLOOKUP($B131,'CCD'!B:B,OFFSET('CCD'!$D:$D,0,MATCH($B$8,'CCD'!$E$4:$BF$4,0)),0),
IF(AND($A131="COMPOSICAO",$A$8="SEM ENCARGOS SOCIAIS"),_xlfn.XLOOKUP($B131,'CSE'!B:B,OFFSET('CSE'!$D:$D,0,MATCH($B$8,'CSE'!$E$9:$BF$9,0)),0),""
)))))))</f>
        <v>0</v>
      </c>
      <c r="G131" s="19">
        <f>IF($A131="","",TRUNC(E131*F131,2))</f>
        <v>0</v>
      </c>
      <c r="H131" s="20" cm="1">
        <f t="array" ref="H131">IF($A131="","",
IF(AND($A131="INSUMO",$A$8="SEM DESONERAÇÃO"),_xlfn.LET(_xlpm.linha_insumo,MATCH($B131,'ISD'!$B:$B,0),_xlpm.coluna_uf,MATCH($B$8,'ISD'!$F$4:$AF$4,0),_xlpm.preco_uf,INDEX('ISD'!$F:$AF,_xlpm.linha_insumo,_xlpm.coluna_uf),IF(ISERROR(_xlpm.linha_insumo),"",IF(_xlpm.preco_uf&lt;&gt;0,0%,100%))),
IF(AND($A131="INSUMO",$A$8="COM DESONERAÇÃO"),_xlfn.LET(_xlpm.linha_insumo,MATCH($B131,'ICD'!$B:$B,0),_xlpm.coluna_uf,MATCH($B$8,'ICD'!$F$4:$AF$4,0),_xlpm.preco_uf,INDEX('ICD'!$F:$AF,_xlpm.linha_insumo,_xlpm.coluna_uf),IF(ISERROR(_xlpm.linha_insumo),"",IF(_xlpm.preco_uf&lt;&gt;0,0%,100%))),
IF(AND($A131="INSUMO",$A$8="SEM ENCARGOS SOCIAIS"),_xlfn.LET(_xlpm.linha_insumo,MATCH($B131,'ISE'!$B:$B,0),_xlpm.coluna_uf,MATCH($B$8,'ISE'!$F$10:$AF$10,0),_xlpm.preco_uf,INDEX('ISE'!$F:$AF,_xlpm.linha_insumo,_xlpm.coluna_uf),IF(ISERROR(_xlpm.linha_insumo),"",IF(_xlpm.preco_uf&lt;&gt;0,0%,100%))),
IF(AND($A131="COMPOSICAO",$A$8="SEM DESONERAÇÃO"),_xlfn.XLOOKUP($B131,'CSD'!B:B,OFFSET('CSD'!$D:$D,0,1+MATCH($B$8,'CSD'!$E$4:$BF$4,0)),0),
IF(AND($A131="COMPOSICAO",$A$8="COM DESONERAÇÃO"),_xlfn.XLOOKUP($B131,'CCD'!B:B,OFFSET('CCD'!$D:$D,0,1+MATCH($B$8,'CCD'!$E$4:$BF$4,0)),0),
IF(AND($A131="COMPOSICAO",$A$8="SEM ENCARGOS SOCIAIS"),_xlfn.XLOOKUP($B131,'CSE'!B:B,OFFSET('CSE'!$D:$D,0,1+MATCH($B$8,'CSE'!$E$9:$BF$9,0)),0),""
)))))))</f>
        <v>0</v>
      </c>
    </row>
    <row r="132" spans="6:8">
      <c r="F132" s="19" cm="1">
        <f t="array" ref="F132">IF($A132="","",
IF(AND($A132="INSUMO",$A$8="SEM DESONERAÇÃO"),_xlfn.LET(_xlpm.linha_insumo,MATCH($B132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_xlpm.preco_regional_as,INDEX($M:$M,MATCH($B132&amp;"_"&amp;$B$8,$K:$K,0)),
IF(ISERROR(_xlpm.linha_insumo),0,IF(_xlpm.preco_uf&lt;&gt;0,_xlpm.preco_uf,IF(ISNUMBER(_xlpm.preco_regional_as),_xlpm.preco_regional_as,_xlpm.preco_sp)))),
IF(AND($A132="INSUMO",$A$8="COM DESONERAÇÃO"),_xlfn.LET(_xlpm.linha_insumo,MATCH($B132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_xlpm.preco_regional_as,INDEX($N:$N,MATCH($B132&amp;"_"&amp;$B$8,$K:$K,0)),
IF(ISERROR(_xlpm.linha_insumo),0,IF(_xlpm.preco_uf&lt;&gt;0,_xlpm.preco_uf,IF(ISNUMBER(_xlpm.preco_regional_as),_xlpm.preco_regional_as,_xlpm.preco_sp)))),
IF(AND($A132="INSUMO",$A$8="SEM ENCARGOS SOCIAIS"),_xlfn.LET(_xlpm.linha_insumo,MATCH($B132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_xlpm.preco_regional_as,INDEX($L:$L,MATCH($B132&amp;"_"&amp;$B$8,$K:$K,0)),
IF(ISERROR(_xlpm.linha_insumo),0,IF(_xlpm.preco_uf&lt;&gt;0,_xlpm.preco_uf,IF(ISNUMBER(_xlpm.preco_regional_as),_xlpm.preco_regional_as,_xlpm.preco_sp)))),
IF(AND($A132="COMPOSICAO",$A$8="SEM DESONERAÇÃO"),_xlfn.XLOOKUP($B132,'CSD'!B:B,OFFSET('CSD'!$D:$D,0,MATCH($B$8,'CSD'!$E$4:$BF$4,0)),0),
IF(AND($A132="COMPOSICAO",$A$8="COM DESONERAÇÃO"),_xlfn.XLOOKUP($B132,'CCD'!B:B,OFFSET('CCD'!$D:$D,0,MATCH($B$8,'CCD'!$E$4:$BF$4,0)),0),
IF(AND($A132="COMPOSICAO",$A$8="SEM ENCARGOS SOCIAIS"),_xlfn.XLOOKUP($B132,'CSE'!B:B,OFFSET('CSE'!$D:$D,0,MATCH($B$8,'CSE'!$E$9:$BF$9,0)),0),""
)))))))</f>
        <v>0</v>
      </c>
      <c r="G132" s="19">
        <f>IF($A132="","",TRUNC(E132*F132,2))</f>
        <v>0</v>
      </c>
      <c r="H132" s="20" cm="1">
        <f t="array" ref="H132">IF($A132="","",
IF(AND($A132="INSUMO",$A$8="SEM DESONERAÇÃO"),_xlfn.LET(_xlpm.linha_insumo,MATCH($B132,'ISD'!$B:$B,0),_xlpm.coluna_uf,MATCH($B$8,'ISD'!$F$4:$AF$4,0),_xlpm.preco_uf,INDEX('ISD'!$F:$AF,_xlpm.linha_insumo,_xlpm.coluna_uf),IF(ISERROR(_xlpm.linha_insumo),"",IF(_xlpm.preco_uf&lt;&gt;0,0%,100%))),
IF(AND($A132="INSUMO",$A$8="COM DESONERAÇÃO"),_xlfn.LET(_xlpm.linha_insumo,MATCH($B132,'ICD'!$B:$B,0),_xlpm.coluna_uf,MATCH($B$8,'ICD'!$F$4:$AF$4,0),_xlpm.preco_uf,INDEX('ICD'!$F:$AF,_xlpm.linha_insumo,_xlpm.coluna_uf),IF(ISERROR(_xlpm.linha_insumo),"",IF(_xlpm.preco_uf&lt;&gt;0,0%,100%))),
IF(AND($A132="INSUMO",$A$8="SEM ENCARGOS SOCIAIS"),_xlfn.LET(_xlpm.linha_insumo,MATCH($B132,'ISE'!$B:$B,0),_xlpm.coluna_uf,MATCH($B$8,'ISE'!$F$10:$AF$10,0),_xlpm.preco_uf,INDEX('ISE'!$F:$AF,_xlpm.linha_insumo,_xlpm.coluna_uf),IF(ISERROR(_xlpm.linha_insumo),"",IF(_xlpm.preco_uf&lt;&gt;0,0%,100%))),
IF(AND($A132="COMPOSICAO",$A$8="SEM DESONERAÇÃO"),_xlfn.XLOOKUP($B132,'CSD'!B:B,OFFSET('CSD'!$D:$D,0,1+MATCH($B$8,'CSD'!$E$4:$BF$4,0)),0),
IF(AND($A132="COMPOSICAO",$A$8="COM DESONERAÇÃO"),_xlfn.XLOOKUP($B132,'CCD'!B:B,OFFSET('CCD'!$D:$D,0,1+MATCH($B$8,'CCD'!$E$4:$BF$4,0)),0),
IF(AND($A132="COMPOSICAO",$A$8="SEM ENCARGOS SOCIAIS"),_xlfn.XLOOKUP($B132,'CSE'!B:B,OFFSET('CSE'!$D:$D,0,1+MATCH($B$8,'CSE'!$E$9:$BF$9,0)),0),""
)))))))</f>
        <v>0</v>
      </c>
    </row>
    <row r="133" spans="6:8">
      <c r="F133" s="19" cm="1">
        <f t="array" ref="F133">IF($A133="","",
IF(AND($A133="INSUMO",$A$8="SEM DESONERAÇÃO"),_xlfn.LET(_xlpm.linha_insumo,MATCH($B133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_xlpm.preco_regional_as,INDEX($M:$M,MATCH($B133&amp;"_"&amp;$B$8,$K:$K,0)),
IF(ISERROR(_xlpm.linha_insumo),0,IF(_xlpm.preco_uf&lt;&gt;0,_xlpm.preco_uf,IF(ISNUMBER(_xlpm.preco_regional_as),_xlpm.preco_regional_as,_xlpm.preco_sp)))),
IF(AND($A133="INSUMO",$A$8="COM DESONERAÇÃO"),_xlfn.LET(_xlpm.linha_insumo,MATCH($B133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_xlpm.preco_regional_as,INDEX($N:$N,MATCH($B133&amp;"_"&amp;$B$8,$K:$K,0)),
IF(ISERROR(_xlpm.linha_insumo),0,IF(_xlpm.preco_uf&lt;&gt;0,_xlpm.preco_uf,IF(ISNUMBER(_xlpm.preco_regional_as),_xlpm.preco_regional_as,_xlpm.preco_sp)))),
IF(AND($A133="INSUMO",$A$8="SEM ENCARGOS SOCIAIS"),_xlfn.LET(_xlpm.linha_insumo,MATCH($B133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_xlpm.preco_regional_as,INDEX($L:$L,MATCH($B133&amp;"_"&amp;$B$8,$K:$K,0)),
IF(ISERROR(_xlpm.linha_insumo),0,IF(_xlpm.preco_uf&lt;&gt;0,_xlpm.preco_uf,IF(ISNUMBER(_xlpm.preco_regional_as),_xlpm.preco_regional_as,_xlpm.preco_sp)))),
IF(AND($A133="COMPOSICAO",$A$8="SEM DESONERAÇÃO"),_xlfn.XLOOKUP($B133,'CSD'!B:B,OFFSET('CSD'!$D:$D,0,MATCH($B$8,'CSD'!$E$4:$BF$4,0)),0),
IF(AND($A133="COMPOSICAO",$A$8="COM DESONERAÇÃO"),_xlfn.XLOOKUP($B133,'CCD'!B:B,OFFSET('CCD'!$D:$D,0,MATCH($B$8,'CCD'!$E$4:$BF$4,0)),0),
IF(AND($A133="COMPOSICAO",$A$8="SEM ENCARGOS SOCIAIS"),_xlfn.XLOOKUP($B133,'CSE'!B:B,OFFSET('CSE'!$D:$D,0,MATCH($B$8,'CSE'!$E$9:$BF$9,0)),0),""
)))))))</f>
        <v>0</v>
      </c>
      <c r="G133" s="19">
        <f>IF($A133="","",TRUNC(E133*F133,2))</f>
        <v>0</v>
      </c>
      <c r="H133" s="20" cm="1">
        <f t="array" ref="H133">IF($A133="","",
IF(AND($A133="INSUMO",$A$8="SEM DESONERAÇÃO"),_xlfn.LET(_xlpm.linha_insumo,MATCH($B133,'ISD'!$B:$B,0),_xlpm.coluna_uf,MATCH($B$8,'ISD'!$F$4:$AF$4,0),_xlpm.preco_uf,INDEX('ISD'!$F:$AF,_xlpm.linha_insumo,_xlpm.coluna_uf),IF(ISERROR(_xlpm.linha_insumo),"",IF(_xlpm.preco_uf&lt;&gt;0,0%,100%))),
IF(AND($A133="INSUMO",$A$8="COM DESONERAÇÃO"),_xlfn.LET(_xlpm.linha_insumo,MATCH($B133,'ICD'!$B:$B,0),_xlpm.coluna_uf,MATCH($B$8,'ICD'!$F$4:$AF$4,0),_xlpm.preco_uf,INDEX('ICD'!$F:$AF,_xlpm.linha_insumo,_xlpm.coluna_uf),IF(ISERROR(_xlpm.linha_insumo),"",IF(_xlpm.preco_uf&lt;&gt;0,0%,100%))),
IF(AND($A133="INSUMO",$A$8="SEM ENCARGOS SOCIAIS"),_xlfn.LET(_xlpm.linha_insumo,MATCH($B133,'ISE'!$B:$B,0),_xlpm.coluna_uf,MATCH($B$8,'ISE'!$F$10:$AF$10,0),_xlpm.preco_uf,INDEX('ISE'!$F:$AF,_xlpm.linha_insumo,_xlpm.coluna_uf),IF(ISERROR(_xlpm.linha_insumo),"",IF(_xlpm.preco_uf&lt;&gt;0,0%,100%))),
IF(AND($A133="COMPOSICAO",$A$8="SEM DESONERAÇÃO"),_xlfn.XLOOKUP($B133,'CSD'!B:B,OFFSET('CSD'!$D:$D,0,1+MATCH($B$8,'CSD'!$E$4:$BF$4,0)),0),
IF(AND($A133="COMPOSICAO",$A$8="COM DESONERAÇÃO"),_xlfn.XLOOKUP($B133,'CCD'!B:B,OFFSET('CCD'!$D:$D,0,1+MATCH($B$8,'CCD'!$E$4:$BF$4,0)),0),
IF(AND($A133="COMPOSICAO",$A$8="SEM ENCARGOS SOCIAIS"),_xlfn.XLOOKUP($B133,'CSE'!B:B,OFFSET('CSE'!$D:$D,0,1+MATCH($B$8,'CSE'!$E$9:$BF$9,0)),0),""
)))))))</f>
        <v>0</v>
      </c>
    </row>
    <row r="134" spans="6:8">
      <c r="F134" s="19" cm="1">
        <f t="array" ref="F134">IF($A134="","",
IF(AND($A134="INSUMO",$A$8="SEM DESONERAÇÃO"),_xlfn.LET(_xlpm.linha_insumo,MATCH($B134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_xlpm.preco_regional_as,INDEX($M:$M,MATCH($B134&amp;"_"&amp;$B$8,$K:$K,0)),
IF(ISERROR(_xlpm.linha_insumo),0,IF(_xlpm.preco_uf&lt;&gt;0,_xlpm.preco_uf,IF(ISNUMBER(_xlpm.preco_regional_as),_xlpm.preco_regional_as,_xlpm.preco_sp)))),
IF(AND($A134="INSUMO",$A$8="COM DESONERAÇÃO"),_xlfn.LET(_xlpm.linha_insumo,MATCH($B134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_xlpm.preco_regional_as,INDEX($N:$N,MATCH($B134&amp;"_"&amp;$B$8,$K:$K,0)),
IF(ISERROR(_xlpm.linha_insumo),0,IF(_xlpm.preco_uf&lt;&gt;0,_xlpm.preco_uf,IF(ISNUMBER(_xlpm.preco_regional_as),_xlpm.preco_regional_as,_xlpm.preco_sp)))),
IF(AND($A134="INSUMO",$A$8="SEM ENCARGOS SOCIAIS"),_xlfn.LET(_xlpm.linha_insumo,MATCH($B134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_xlpm.preco_regional_as,INDEX($L:$L,MATCH($B134&amp;"_"&amp;$B$8,$K:$K,0)),
IF(ISERROR(_xlpm.linha_insumo),0,IF(_xlpm.preco_uf&lt;&gt;0,_xlpm.preco_uf,IF(ISNUMBER(_xlpm.preco_regional_as),_xlpm.preco_regional_as,_xlpm.preco_sp)))),
IF(AND($A134="COMPOSICAO",$A$8="SEM DESONERAÇÃO"),_xlfn.XLOOKUP($B134,'CSD'!B:B,OFFSET('CSD'!$D:$D,0,MATCH($B$8,'CSD'!$E$4:$BF$4,0)),0),
IF(AND($A134="COMPOSICAO",$A$8="COM DESONERAÇÃO"),_xlfn.XLOOKUP($B134,'CCD'!B:B,OFFSET('CCD'!$D:$D,0,MATCH($B$8,'CCD'!$E$4:$BF$4,0)),0),
IF(AND($A134="COMPOSICAO",$A$8="SEM ENCARGOS SOCIAIS"),_xlfn.XLOOKUP($B134,'CSE'!B:B,OFFSET('CSE'!$D:$D,0,MATCH($B$8,'CSE'!$E$9:$BF$9,0)),0),""
)))))))</f>
        <v>0</v>
      </c>
      <c r="G134" s="19">
        <f>IF($A134="","",TRUNC(E134*F134,2))</f>
        <v>0</v>
      </c>
      <c r="H134" s="20" cm="1">
        <f t="array" ref="H134">IF($A134="","",
IF(AND($A134="INSUMO",$A$8="SEM DESONERAÇÃO"),_xlfn.LET(_xlpm.linha_insumo,MATCH($B134,'ISD'!$B:$B,0),_xlpm.coluna_uf,MATCH($B$8,'ISD'!$F$4:$AF$4,0),_xlpm.preco_uf,INDEX('ISD'!$F:$AF,_xlpm.linha_insumo,_xlpm.coluna_uf),IF(ISERROR(_xlpm.linha_insumo),"",IF(_xlpm.preco_uf&lt;&gt;0,0%,100%))),
IF(AND($A134="INSUMO",$A$8="COM DESONERAÇÃO"),_xlfn.LET(_xlpm.linha_insumo,MATCH($B134,'ICD'!$B:$B,0),_xlpm.coluna_uf,MATCH($B$8,'ICD'!$F$4:$AF$4,0),_xlpm.preco_uf,INDEX('ICD'!$F:$AF,_xlpm.linha_insumo,_xlpm.coluna_uf),IF(ISERROR(_xlpm.linha_insumo),"",IF(_xlpm.preco_uf&lt;&gt;0,0%,100%))),
IF(AND($A134="INSUMO",$A$8="SEM ENCARGOS SOCIAIS"),_xlfn.LET(_xlpm.linha_insumo,MATCH($B134,'ISE'!$B:$B,0),_xlpm.coluna_uf,MATCH($B$8,'ISE'!$F$10:$AF$10,0),_xlpm.preco_uf,INDEX('ISE'!$F:$AF,_xlpm.linha_insumo,_xlpm.coluna_uf),IF(ISERROR(_xlpm.linha_insumo),"",IF(_xlpm.preco_uf&lt;&gt;0,0%,100%))),
IF(AND($A134="COMPOSICAO",$A$8="SEM DESONERAÇÃO"),_xlfn.XLOOKUP($B134,'CSD'!B:B,OFFSET('CSD'!$D:$D,0,1+MATCH($B$8,'CSD'!$E$4:$BF$4,0)),0),
IF(AND($A134="COMPOSICAO",$A$8="COM DESONERAÇÃO"),_xlfn.XLOOKUP($B134,'CCD'!B:B,OFFSET('CCD'!$D:$D,0,1+MATCH($B$8,'CCD'!$E$4:$BF$4,0)),0),
IF(AND($A134="COMPOSICAO",$A$8="SEM ENCARGOS SOCIAIS"),_xlfn.XLOOKUP($B134,'CSE'!B:B,OFFSET('CSE'!$D:$D,0,1+MATCH($B$8,'CSE'!$E$9:$BF$9,0)),0),""
)))))))</f>
        <v>0</v>
      </c>
    </row>
    <row r="135" spans="6:8">
      <c r="F135" s="19" cm="1">
        <f t="array" ref="F135">IF($A135="","",
IF(AND($A135="INSUMO",$A$8="SEM DESONERAÇÃO"),_xlfn.LET(_xlpm.linha_insumo,MATCH($B135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_xlpm.preco_regional_as,INDEX($M:$M,MATCH($B135&amp;"_"&amp;$B$8,$K:$K,0)),
IF(ISERROR(_xlpm.linha_insumo),0,IF(_xlpm.preco_uf&lt;&gt;0,_xlpm.preco_uf,IF(ISNUMBER(_xlpm.preco_regional_as),_xlpm.preco_regional_as,_xlpm.preco_sp)))),
IF(AND($A135="INSUMO",$A$8="COM DESONERAÇÃO"),_xlfn.LET(_xlpm.linha_insumo,MATCH($B135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_xlpm.preco_regional_as,INDEX($N:$N,MATCH($B135&amp;"_"&amp;$B$8,$K:$K,0)),
IF(ISERROR(_xlpm.linha_insumo),0,IF(_xlpm.preco_uf&lt;&gt;0,_xlpm.preco_uf,IF(ISNUMBER(_xlpm.preco_regional_as),_xlpm.preco_regional_as,_xlpm.preco_sp)))),
IF(AND($A135="INSUMO",$A$8="SEM ENCARGOS SOCIAIS"),_xlfn.LET(_xlpm.linha_insumo,MATCH($B135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_xlpm.preco_regional_as,INDEX($L:$L,MATCH($B135&amp;"_"&amp;$B$8,$K:$K,0)),
IF(ISERROR(_xlpm.linha_insumo),0,IF(_xlpm.preco_uf&lt;&gt;0,_xlpm.preco_uf,IF(ISNUMBER(_xlpm.preco_regional_as),_xlpm.preco_regional_as,_xlpm.preco_sp)))),
IF(AND($A135="COMPOSICAO",$A$8="SEM DESONERAÇÃO"),_xlfn.XLOOKUP($B135,'CSD'!B:B,OFFSET('CSD'!$D:$D,0,MATCH($B$8,'CSD'!$E$4:$BF$4,0)),0),
IF(AND($A135="COMPOSICAO",$A$8="COM DESONERAÇÃO"),_xlfn.XLOOKUP($B135,'CCD'!B:B,OFFSET('CCD'!$D:$D,0,MATCH($B$8,'CCD'!$E$4:$BF$4,0)),0),
IF(AND($A135="COMPOSICAO",$A$8="SEM ENCARGOS SOCIAIS"),_xlfn.XLOOKUP($B135,'CSE'!B:B,OFFSET('CSE'!$D:$D,0,MATCH($B$8,'CSE'!$E$9:$BF$9,0)),0),""
)))))))</f>
        <v>0</v>
      </c>
      <c r="G135" s="19">
        <f>IF($A135="","",TRUNC(E135*F135,2))</f>
        <v>0</v>
      </c>
      <c r="H135" s="20" cm="1">
        <f t="array" ref="H135">IF($A135="","",
IF(AND($A135="INSUMO",$A$8="SEM DESONERAÇÃO"),_xlfn.LET(_xlpm.linha_insumo,MATCH($B135,'ISD'!$B:$B,0),_xlpm.coluna_uf,MATCH($B$8,'ISD'!$F$4:$AF$4,0),_xlpm.preco_uf,INDEX('ISD'!$F:$AF,_xlpm.linha_insumo,_xlpm.coluna_uf),IF(ISERROR(_xlpm.linha_insumo),"",IF(_xlpm.preco_uf&lt;&gt;0,0%,100%))),
IF(AND($A135="INSUMO",$A$8="COM DESONERAÇÃO"),_xlfn.LET(_xlpm.linha_insumo,MATCH($B135,'ICD'!$B:$B,0),_xlpm.coluna_uf,MATCH($B$8,'ICD'!$F$4:$AF$4,0),_xlpm.preco_uf,INDEX('ICD'!$F:$AF,_xlpm.linha_insumo,_xlpm.coluna_uf),IF(ISERROR(_xlpm.linha_insumo),"",IF(_xlpm.preco_uf&lt;&gt;0,0%,100%))),
IF(AND($A135="INSUMO",$A$8="SEM ENCARGOS SOCIAIS"),_xlfn.LET(_xlpm.linha_insumo,MATCH($B135,'ISE'!$B:$B,0),_xlpm.coluna_uf,MATCH($B$8,'ISE'!$F$10:$AF$10,0),_xlpm.preco_uf,INDEX('ISE'!$F:$AF,_xlpm.linha_insumo,_xlpm.coluna_uf),IF(ISERROR(_xlpm.linha_insumo),"",IF(_xlpm.preco_uf&lt;&gt;0,0%,100%))),
IF(AND($A135="COMPOSICAO",$A$8="SEM DESONERAÇÃO"),_xlfn.XLOOKUP($B135,'CSD'!B:B,OFFSET('CSD'!$D:$D,0,1+MATCH($B$8,'CSD'!$E$4:$BF$4,0)),0),
IF(AND($A135="COMPOSICAO",$A$8="COM DESONERAÇÃO"),_xlfn.XLOOKUP($B135,'CCD'!B:B,OFFSET('CCD'!$D:$D,0,1+MATCH($B$8,'CCD'!$E$4:$BF$4,0)),0),
IF(AND($A135="COMPOSICAO",$A$8="SEM ENCARGOS SOCIAIS"),_xlfn.XLOOKUP($B135,'CSE'!B:B,OFFSET('CSE'!$D:$D,0,1+MATCH($B$8,'CSE'!$E$9:$BF$9,0)),0),""
)))))))</f>
        <v>0</v>
      </c>
    </row>
    <row r="136" spans="6:8">
      <c r="F136" s="19" cm="1">
        <f t="array" ref="F136">IF($A136="","",
IF(AND($A136="INSUMO",$A$8="SEM DESONERAÇÃO"),_xlfn.LET(_xlpm.linha_insumo,MATCH($B136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_xlpm.preco_regional_as,INDEX($M:$M,MATCH($B136&amp;"_"&amp;$B$8,$K:$K,0)),
IF(ISERROR(_xlpm.linha_insumo),0,IF(_xlpm.preco_uf&lt;&gt;0,_xlpm.preco_uf,IF(ISNUMBER(_xlpm.preco_regional_as),_xlpm.preco_regional_as,_xlpm.preco_sp)))),
IF(AND($A136="INSUMO",$A$8="COM DESONERAÇÃO"),_xlfn.LET(_xlpm.linha_insumo,MATCH($B136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_xlpm.preco_regional_as,INDEX($N:$N,MATCH($B136&amp;"_"&amp;$B$8,$K:$K,0)),
IF(ISERROR(_xlpm.linha_insumo),0,IF(_xlpm.preco_uf&lt;&gt;0,_xlpm.preco_uf,IF(ISNUMBER(_xlpm.preco_regional_as),_xlpm.preco_regional_as,_xlpm.preco_sp)))),
IF(AND($A136="INSUMO",$A$8="SEM ENCARGOS SOCIAIS"),_xlfn.LET(_xlpm.linha_insumo,MATCH($B136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_xlpm.preco_regional_as,INDEX($L:$L,MATCH($B136&amp;"_"&amp;$B$8,$K:$K,0)),
IF(ISERROR(_xlpm.linha_insumo),0,IF(_xlpm.preco_uf&lt;&gt;0,_xlpm.preco_uf,IF(ISNUMBER(_xlpm.preco_regional_as),_xlpm.preco_regional_as,_xlpm.preco_sp)))),
IF(AND($A136="COMPOSICAO",$A$8="SEM DESONERAÇÃO"),_xlfn.XLOOKUP($B136,'CSD'!B:B,OFFSET('CSD'!$D:$D,0,MATCH($B$8,'CSD'!$E$4:$BF$4,0)),0),
IF(AND($A136="COMPOSICAO",$A$8="COM DESONERAÇÃO"),_xlfn.XLOOKUP($B136,'CCD'!B:B,OFFSET('CCD'!$D:$D,0,MATCH($B$8,'CCD'!$E$4:$BF$4,0)),0),
IF(AND($A136="COMPOSICAO",$A$8="SEM ENCARGOS SOCIAIS"),_xlfn.XLOOKUP($B136,'CSE'!B:B,OFFSET('CSE'!$D:$D,0,MATCH($B$8,'CSE'!$E$9:$BF$9,0)),0),""
)))))))</f>
        <v>0</v>
      </c>
      <c r="G136" s="19">
        <f>IF($A136="","",TRUNC(E136*F136,2))</f>
        <v>0</v>
      </c>
      <c r="H136" s="20" cm="1">
        <f t="array" ref="H136">IF($A136="","",
IF(AND($A136="INSUMO",$A$8="SEM DESONERAÇÃO"),_xlfn.LET(_xlpm.linha_insumo,MATCH($B136,'ISD'!$B:$B,0),_xlpm.coluna_uf,MATCH($B$8,'ISD'!$F$4:$AF$4,0),_xlpm.preco_uf,INDEX('ISD'!$F:$AF,_xlpm.linha_insumo,_xlpm.coluna_uf),IF(ISERROR(_xlpm.linha_insumo),"",IF(_xlpm.preco_uf&lt;&gt;0,0%,100%))),
IF(AND($A136="INSUMO",$A$8="COM DESONERAÇÃO"),_xlfn.LET(_xlpm.linha_insumo,MATCH($B136,'ICD'!$B:$B,0),_xlpm.coluna_uf,MATCH($B$8,'ICD'!$F$4:$AF$4,0),_xlpm.preco_uf,INDEX('ICD'!$F:$AF,_xlpm.linha_insumo,_xlpm.coluna_uf),IF(ISERROR(_xlpm.linha_insumo),"",IF(_xlpm.preco_uf&lt;&gt;0,0%,100%))),
IF(AND($A136="INSUMO",$A$8="SEM ENCARGOS SOCIAIS"),_xlfn.LET(_xlpm.linha_insumo,MATCH($B136,'ISE'!$B:$B,0),_xlpm.coluna_uf,MATCH($B$8,'ISE'!$F$10:$AF$10,0),_xlpm.preco_uf,INDEX('ISE'!$F:$AF,_xlpm.linha_insumo,_xlpm.coluna_uf),IF(ISERROR(_xlpm.linha_insumo),"",IF(_xlpm.preco_uf&lt;&gt;0,0%,100%))),
IF(AND($A136="COMPOSICAO",$A$8="SEM DESONERAÇÃO"),_xlfn.XLOOKUP($B136,'CSD'!B:B,OFFSET('CSD'!$D:$D,0,1+MATCH($B$8,'CSD'!$E$4:$BF$4,0)),0),
IF(AND($A136="COMPOSICAO",$A$8="COM DESONERAÇÃO"),_xlfn.XLOOKUP($B136,'CCD'!B:B,OFFSET('CCD'!$D:$D,0,1+MATCH($B$8,'CCD'!$E$4:$BF$4,0)),0),
IF(AND($A136="COMPOSICAO",$A$8="SEM ENCARGOS SOCIAIS"),_xlfn.XLOOKUP($B136,'CSE'!B:B,OFFSET('CSE'!$D:$D,0,1+MATCH($B$8,'CSE'!$E$9:$BF$9,0)),0),""
)))))))</f>
        <v>0</v>
      </c>
    </row>
    <row r="137" spans="6:8">
      <c r="F137" s="19" cm="1">
        <f t="array" ref="F137">IF($A137="","",
IF(AND($A137="INSUMO",$A$8="SEM DESONERAÇÃO"),_xlfn.LET(_xlpm.linha_insumo,MATCH($B137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_xlpm.preco_regional_as,INDEX($M:$M,MATCH($B137&amp;"_"&amp;$B$8,$K:$K,0)),
IF(ISERROR(_xlpm.linha_insumo),0,IF(_xlpm.preco_uf&lt;&gt;0,_xlpm.preco_uf,IF(ISNUMBER(_xlpm.preco_regional_as),_xlpm.preco_regional_as,_xlpm.preco_sp)))),
IF(AND($A137="INSUMO",$A$8="COM DESONERAÇÃO"),_xlfn.LET(_xlpm.linha_insumo,MATCH($B137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_xlpm.preco_regional_as,INDEX($N:$N,MATCH($B137&amp;"_"&amp;$B$8,$K:$K,0)),
IF(ISERROR(_xlpm.linha_insumo),0,IF(_xlpm.preco_uf&lt;&gt;0,_xlpm.preco_uf,IF(ISNUMBER(_xlpm.preco_regional_as),_xlpm.preco_regional_as,_xlpm.preco_sp)))),
IF(AND($A137="INSUMO",$A$8="SEM ENCARGOS SOCIAIS"),_xlfn.LET(_xlpm.linha_insumo,MATCH($B137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_xlpm.preco_regional_as,INDEX($L:$L,MATCH($B137&amp;"_"&amp;$B$8,$K:$K,0)),
IF(ISERROR(_xlpm.linha_insumo),0,IF(_xlpm.preco_uf&lt;&gt;0,_xlpm.preco_uf,IF(ISNUMBER(_xlpm.preco_regional_as),_xlpm.preco_regional_as,_xlpm.preco_sp)))),
IF(AND($A137="COMPOSICAO",$A$8="SEM DESONERAÇÃO"),_xlfn.XLOOKUP($B137,'CSD'!B:B,OFFSET('CSD'!$D:$D,0,MATCH($B$8,'CSD'!$E$4:$BF$4,0)),0),
IF(AND($A137="COMPOSICAO",$A$8="COM DESONERAÇÃO"),_xlfn.XLOOKUP($B137,'CCD'!B:B,OFFSET('CCD'!$D:$D,0,MATCH($B$8,'CCD'!$E$4:$BF$4,0)),0),
IF(AND($A137="COMPOSICAO",$A$8="SEM ENCARGOS SOCIAIS"),_xlfn.XLOOKUP($B137,'CSE'!B:B,OFFSET('CSE'!$D:$D,0,MATCH($B$8,'CSE'!$E$9:$BF$9,0)),0),""
)))))))</f>
        <v>0</v>
      </c>
      <c r="G137" s="19">
        <f>IF($A137="","",TRUNC(E137*F137,2))</f>
        <v>0</v>
      </c>
      <c r="H137" s="20" cm="1">
        <f t="array" ref="H137">IF($A137="","",
IF(AND($A137="INSUMO",$A$8="SEM DESONERAÇÃO"),_xlfn.LET(_xlpm.linha_insumo,MATCH($B137,'ISD'!$B:$B,0),_xlpm.coluna_uf,MATCH($B$8,'ISD'!$F$4:$AF$4,0),_xlpm.preco_uf,INDEX('ISD'!$F:$AF,_xlpm.linha_insumo,_xlpm.coluna_uf),IF(ISERROR(_xlpm.linha_insumo),"",IF(_xlpm.preco_uf&lt;&gt;0,0%,100%))),
IF(AND($A137="INSUMO",$A$8="COM DESONERAÇÃO"),_xlfn.LET(_xlpm.linha_insumo,MATCH($B137,'ICD'!$B:$B,0),_xlpm.coluna_uf,MATCH($B$8,'ICD'!$F$4:$AF$4,0),_xlpm.preco_uf,INDEX('ICD'!$F:$AF,_xlpm.linha_insumo,_xlpm.coluna_uf),IF(ISERROR(_xlpm.linha_insumo),"",IF(_xlpm.preco_uf&lt;&gt;0,0%,100%))),
IF(AND($A137="INSUMO",$A$8="SEM ENCARGOS SOCIAIS"),_xlfn.LET(_xlpm.linha_insumo,MATCH($B137,'ISE'!$B:$B,0),_xlpm.coluna_uf,MATCH($B$8,'ISE'!$F$10:$AF$10,0),_xlpm.preco_uf,INDEX('ISE'!$F:$AF,_xlpm.linha_insumo,_xlpm.coluna_uf),IF(ISERROR(_xlpm.linha_insumo),"",IF(_xlpm.preco_uf&lt;&gt;0,0%,100%))),
IF(AND($A137="COMPOSICAO",$A$8="SEM DESONERAÇÃO"),_xlfn.XLOOKUP($B137,'CSD'!B:B,OFFSET('CSD'!$D:$D,0,1+MATCH($B$8,'CSD'!$E$4:$BF$4,0)),0),
IF(AND($A137="COMPOSICAO",$A$8="COM DESONERAÇÃO"),_xlfn.XLOOKUP($B137,'CCD'!B:B,OFFSET('CCD'!$D:$D,0,1+MATCH($B$8,'CCD'!$E$4:$BF$4,0)),0),
IF(AND($A137="COMPOSICAO",$A$8="SEM ENCARGOS SOCIAIS"),_xlfn.XLOOKUP($B137,'CSE'!B:B,OFFSET('CSE'!$D:$D,0,1+MATCH($B$8,'CSE'!$E$9:$BF$9,0)),0),""
)))))))</f>
        <v>0</v>
      </c>
    </row>
    <row r="138" spans="6:8">
      <c r="F138" s="19" cm="1">
        <f t="array" ref="F138">IF($A138="","",
IF(AND($A138="INSUMO",$A$8="SEM DESONERAÇÃO"),_xlfn.LET(_xlpm.linha_insumo,MATCH($B138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_xlpm.preco_regional_as,INDEX($M:$M,MATCH($B138&amp;"_"&amp;$B$8,$K:$K,0)),
IF(ISERROR(_xlpm.linha_insumo),0,IF(_xlpm.preco_uf&lt;&gt;0,_xlpm.preco_uf,IF(ISNUMBER(_xlpm.preco_regional_as),_xlpm.preco_regional_as,_xlpm.preco_sp)))),
IF(AND($A138="INSUMO",$A$8="COM DESONERAÇÃO"),_xlfn.LET(_xlpm.linha_insumo,MATCH($B138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_xlpm.preco_regional_as,INDEX($N:$N,MATCH($B138&amp;"_"&amp;$B$8,$K:$K,0)),
IF(ISERROR(_xlpm.linha_insumo),0,IF(_xlpm.preco_uf&lt;&gt;0,_xlpm.preco_uf,IF(ISNUMBER(_xlpm.preco_regional_as),_xlpm.preco_regional_as,_xlpm.preco_sp)))),
IF(AND($A138="INSUMO",$A$8="SEM ENCARGOS SOCIAIS"),_xlfn.LET(_xlpm.linha_insumo,MATCH($B138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_xlpm.preco_regional_as,INDEX($L:$L,MATCH($B138&amp;"_"&amp;$B$8,$K:$K,0)),
IF(ISERROR(_xlpm.linha_insumo),0,IF(_xlpm.preco_uf&lt;&gt;0,_xlpm.preco_uf,IF(ISNUMBER(_xlpm.preco_regional_as),_xlpm.preco_regional_as,_xlpm.preco_sp)))),
IF(AND($A138="COMPOSICAO",$A$8="SEM DESONERAÇÃO"),_xlfn.XLOOKUP($B138,'CSD'!B:B,OFFSET('CSD'!$D:$D,0,MATCH($B$8,'CSD'!$E$4:$BF$4,0)),0),
IF(AND($A138="COMPOSICAO",$A$8="COM DESONERAÇÃO"),_xlfn.XLOOKUP($B138,'CCD'!B:B,OFFSET('CCD'!$D:$D,0,MATCH($B$8,'CCD'!$E$4:$BF$4,0)),0),
IF(AND($A138="COMPOSICAO",$A$8="SEM ENCARGOS SOCIAIS"),_xlfn.XLOOKUP($B138,'CSE'!B:B,OFFSET('CSE'!$D:$D,0,MATCH($B$8,'CSE'!$E$9:$BF$9,0)),0),""
)))))))</f>
        <v>0</v>
      </c>
      <c r="G138" s="19">
        <f>IF($A138="","",TRUNC(E138*F138,2))</f>
        <v>0</v>
      </c>
      <c r="H138" s="20" cm="1">
        <f t="array" ref="H138">IF($A138="","",
IF(AND($A138="INSUMO",$A$8="SEM DESONERAÇÃO"),_xlfn.LET(_xlpm.linha_insumo,MATCH($B138,'ISD'!$B:$B,0),_xlpm.coluna_uf,MATCH($B$8,'ISD'!$F$4:$AF$4,0),_xlpm.preco_uf,INDEX('ISD'!$F:$AF,_xlpm.linha_insumo,_xlpm.coluna_uf),IF(ISERROR(_xlpm.linha_insumo),"",IF(_xlpm.preco_uf&lt;&gt;0,0%,100%))),
IF(AND($A138="INSUMO",$A$8="COM DESONERAÇÃO"),_xlfn.LET(_xlpm.linha_insumo,MATCH($B138,'ICD'!$B:$B,0),_xlpm.coluna_uf,MATCH($B$8,'ICD'!$F$4:$AF$4,0),_xlpm.preco_uf,INDEX('ICD'!$F:$AF,_xlpm.linha_insumo,_xlpm.coluna_uf),IF(ISERROR(_xlpm.linha_insumo),"",IF(_xlpm.preco_uf&lt;&gt;0,0%,100%))),
IF(AND($A138="INSUMO",$A$8="SEM ENCARGOS SOCIAIS"),_xlfn.LET(_xlpm.linha_insumo,MATCH($B138,'ISE'!$B:$B,0),_xlpm.coluna_uf,MATCH($B$8,'ISE'!$F$10:$AF$10,0),_xlpm.preco_uf,INDEX('ISE'!$F:$AF,_xlpm.linha_insumo,_xlpm.coluna_uf),IF(ISERROR(_xlpm.linha_insumo),"",IF(_xlpm.preco_uf&lt;&gt;0,0%,100%))),
IF(AND($A138="COMPOSICAO",$A$8="SEM DESONERAÇÃO"),_xlfn.XLOOKUP($B138,'CSD'!B:B,OFFSET('CSD'!$D:$D,0,1+MATCH($B$8,'CSD'!$E$4:$BF$4,0)),0),
IF(AND($A138="COMPOSICAO",$A$8="COM DESONERAÇÃO"),_xlfn.XLOOKUP($B138,'CCD'!B:B,OFFSET('CCD'!$D:$D,0,1+MATCH($B$8,'CCD'!$E$4:$BF$4,0)),0),
IF(AND($A138="COMPOSICAO",$A$8="SEM ENCARGOS SOCIAIS"),_xlfn.XLOOKUP($B138,'CSE'!B:B,OFFSET('CSE'!$D:$D,0,1+MATCH($B$8,'CSE'!$E$9:$BF$9,0)),0),""
)))))))</f>
        <v>0</v>
      </c>
    </row>
    <row r="139" spans="6:8">
      <c r="F139" s="19" cm="1">
        <f t="array" ref="F139">IF($A139="","",
IF(AND($A139="INSUMO",$A$8="SEM DESONERAÇÃO"),_xlfn.LET(_xlpm.linha_insumo,MATCH($B139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_xlpm.preco_regional_as,INDEX($M:$M,MATCH($B139&amp;"_"&amp;$B$8,$K:$K,0)),
IF(ISERROR(_xlpm.linha_insumo),0,IF(_xlpm.preco_uf&lt;&gt;0,_xlpm.preco_uf,IF(ISNUMBER(_xlpm.preco_regional_as),_xlpm.preco_regional_as,_xlpm.preco_sp)))),
IF(AND($A139="INSUMO",$A$8="COM DESONERAÇÃO"),_xlfn.LET(_xlpm.linha_insumo,MATCH($B139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_xlpm.preco_regional_as,INDEX($N:$N,MATCH($B139&amp;"_"&amp;$B$8,$K:$K,0)),
IF(ISERROR(_xlpm.linha_insumo),0,IF(_xlpm.preco_uf&lt;&gt;0,_xlpm.preco_uf,IF(ISNUMBER(_xlpm.preco_regional_as),_xlpm.preco_regional_as,_xlpm.preco_sp)))),
IF(AND($A139="INSUMO",$A$8="SEM ENCARGOS SOCIAIS"),_xlfn.LET(_xlpm.linha_insumo,MATCH($B139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_xlpm.preco_regional_as,INDEX($L:$L,MATCH($B139&amp;"_"&amp;$B$8,$K:$K,0)),
IF(ISERROR(_xlpm.linha_insumo),0,IF(_xlpm.preco_uf&lt;&gt;0,_xlpm.preco_uf,IF(ISNUMBER(_xlpm.preco_regional_as),_xlpm.preco_regional_as,_xlpm.preco_sp)))),
IF(AND($A139="COMPOSICAO",$A$8="SEM DESONERAÇÃO"),_xlfn.XLOOKUP($B139,'CSD'!B:B,OFFSET('CSD'!$D:$D,0,MATCH($B$8,'CSD'!$E$4:$BF$4,0)),0),
IF(AND($A139="COMPOSICAO",$A$8="COM DESONERAÇÃO"),_xlfn.XLOOKUP($B139,'CCD'!B:B,OFFSET('CCD'!$D:$D,0,MATCH($B$8,'CCD'!$E$4:$BF$4,0)),0),
IF(AND($A139="COMPOSICAO",$A$8="SEM ENCARGOS SOCIAIS"),_xlfn.XLOOKUP($B139,'CSE'!B:B,OFFSET('CSE'!$D:$D,0,MATCH($B$8,'CSE'!$E$9:$BF$9,0)),0),""
)))))))</f>
        <v>0</v>
      </c>
      <c r="G139" s="19">
        <f>IF($A139="","",TRUNC(E139*F139,2))</f>
        <v>0</v>
      </c>
      <c r="H139" s="20" cm="1">
        <f t="array" ref="H139">IF($A139="","",
IF(AND($A139="INSUMO",$A$8="SEM DESONERAÇÃO"),_xlfn.LET(_xlpm.linha_insumo,MATCH($B139,'ISD'!$B:$B,0),_xlpm.coluna_uf,MATCH($B$8,'ISD'!$F$4:$AF$4,0),_xlpm.preco_uf,INDEX('ISD'!$F:$AF,_xlpm.linha_insumo,_xlpm.coluna_uf),IF(ISERROR(_xlpm.linha_insumo),"",IF(_xlpm.preco_uf&lt;&gt;0,0%,100%))),
IF(AND($A139="INSUMO",$A$8="COM DESONERAÇÃO"),_xlfn.LET(_xlpm.linha_insumo,MATCH($B139,'ICD'!$B:$B,0),_xlpm.coluna_uf,MATCH($B$8,'ICD'!$F$4:$AF$4,0),_xlpm.preco_uf,INDEX('ICD'!$F:$AF,_xlpm.linha_insumo,_xlpm.coluna_uf),IF(ISERROR(_xlpm.linha_insumo),"",IF(_xlpm.preco_uf&lt;&gt;0,0%,100%))),
IF(AND($A139="INSUMO",$A$8="SEM ENCARGOS SOCIAIS"),_xlfn.LET(_xlpm.linha_insumo,MATCH($B139,'ISE'!$B:$B,0),_xlpm.coluna_uf,MATCH($B$8,'ISE'!$F$10:$AF$10,0),_xlpm.preco_uf,INDEX('ISE'!$F:$AF,_xlpm.linha_insumo,_xlpm.coluna_uf),IF(ISERROR(_xlpm.linha_insumo),"",IF(_xlpm.preco_uf&lt;&gt;0,0%,100%))),
IF(AND($A139="COMPOSICAO",$A$8="SEM DESONERAÇÃO"),_xlfn.XLOOKUP($B139,'CSD'!B:B,OFFSET('CSD'!$D:$D,0,1+MATCH($B$8,'CSD'!$E$4:$BF$4,0)),0),
IF(AND($A139="COMPOSICAO",$A$8="COM DESONERAÇÃO"),_xlfn.XLOOKUP($B139,'CCD'!B:B,OFFSET('CCD'!$D:$D,0,1+MATCH($B$8,'CCD'!$E$4:$BF$4,0)),0),
IF(AND($A139="COMPOSICAO",$A$8="SEM ENCARGOS SOCIAIS"),_xlfn.XLOOKUP($B139,'CSE'!B:B,OFFSET('CSE'!$D:$D,0,1+MATCH($B$8,'CSE'!$E$9:$BF$9,0)),0),""
)))))))</f>
        <v>0</v>
      </c>
    </row>
    <row r="140" spans="6:8">
      <c r="F140" s="19" cm="1">
        <f t="array" ref="F140">IF($A140="","",
IF(AND($A140="INSUMO",$A$8="SEM DESONERAÇÃO"),_xlfn.LET(_xlpm.linha_insumo,MATCH($B140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_xlpm.preco_regional_as,INDEX($M:$M,MATCH($B140&amp;"_"&amp;$B$8,$K:$K,0)),
IF(ISERROR(_xlpm.linha_insumo),0,IF(_xlpm.preco_uf&lt;&gt;0,_xlpm.preco_uf,IF(ISNUMBER(_xlpm.preco_regional_as),_xlpm.preco_regional_as,_xlpm.preco_sp)))),
IF(AND($A140="INSUMO",$A$8="COM DESONERAÇÃO"),_xlfn.LET(_xlpm.linha_insumo,MATCH($B140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_xlpm.preco_regional_as,INDEX($N:$N,MATCH($B140&amp;"_"&amp;$B$8,$K:$K,0)),
IF(ISERROR(_xlpm.linha_insumo),0,IF(_xlpm.preco_uf&lt;&gt;0,_xlpm.preco_uf,IF(ISNUMBER(_xlpm.preco_regional_as),_xlpm.preco_regional_as,_xlpm.preco_sp)))),
IF(AND($A140="INSUMO",$A$8="SEM ENCARGOS SOCIAIS"),_xlfn.LET(_xlpm.linha_insumo,MATCH($B140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_xlpm.preco_regional_as,INDEX($L:$L,MATCH($B140&amp;"_"&amp;$B$8,$K:$K,0)),
IF(ISERROR(_xlpm.linha_insumo),0,IF(_xlpm.preco_uf&lt;&gt;0,_xlpm.preco_uf,IF(ISNUMBER(_xlpm.preco_regional_as),_xlpm.preco_regional_as,_xlpm.preco_sp)))),
IF(AND($A140="COMPOSICAO",$A$8="SEM DESONERAÇÃO"),_xlfn.XLOOKUP($B140,'CSD'!B:B,OFFSET('CSD'!$D:$D,0,MATCH($B$8,'CSD'!$E$4:$BF$4,0)),0),
IF(AND($A140="COMPOSICAO",$A$8="COM DESONERAÇÃO"),_xlfn.XLOOKUP($B140,'CCD'!B:B,OFFSET('CCD'!$D:$D,0,MATCH($B$8,'CCD'!$E$4:$BF$4,0)),0),
IF(AND($A140="COMPOSICAO",$A$8="SEM ENCARGOS SOCIAIS"),_xlfn.XLOOKUP($B140,'CSE'!B:B,OFFSET('CSE'!$D:$D,0,MATCH($B$8,'CSE'!$E$9:$BF$9,0)),0),""
)))))))</f>
        <v>0</v>
      </c>
      <c r="G140" s="19">
        <f>IF($A140="","",TRUNC(E140*F140,2))</f>
        <v>0</v>
      </c>
      <c r="H140" s="20" cm="1">
        <f t="array" ref="H140">IF($A140="","",
IF(AND($A140="INSUMO",$A$8="SEM DESONERAÇÃO"),_xlfn.LET(_xlpm.linha_insumo,MATCH($B140,'ISD'!$B:$B,0),_xlpm.coluna_uf,MATCH($B$8,'ISD'!$F$4:$AF$4,0),_xlpm.preco_uf,INDEX('ISD'!$F:$AF,_xlpm.linha_insumo,_xlpm.coluna_uf),IF(ISERROR(_xlpm.linha_insumo),"",IF(_xlpm.preco_uf&lt;&gt;0,0%,100%))),
IF(AND($A140="INSUMO",$A$8="COM DESONERAÇÃO"),_xlfn.LET(_xlpm.linha_insumo,MATCH($B140,'ICD'!$B:$B,0),_xlpm.coluna_uf,MATCH($B$8,'ICD'!$F$4:$AF$4,0),_xlpm.preco_uf,INDEX('ICD'!$F:$AF,_xlpm.linha_insumo,_xlpm.coluna_uf),IF(ISERROR(_xlpm.linha_insumo),"",IF(_xlpm.preco_uf&lt;&gt;0,0%,100%))),
IF(AND($A140="INSUMO",$A$8="SEM ENCARGOS SOCIAIS"),_xlfn.LET(_xlpm.linha_insumo,MATCH($B140,'ISE'!$B:$B,0),_xlpm.coluna_uf,MATCH($B$8,'ISE'!$F$10:$AF$10,0),_xlpm.preco_uf,INDEX('ISE'!$F:$AF,_xlpm.linha_insumo,_xlpm.coluna_uf),IF(ISERROR(_xlpm.linha_insumo),"",IF(_xlpm.preco_uf&lt;&gt;0,0%,100%))),
IF(AND($A140="COMPOSICAO",$A$8="SEM DESONERAÇÃO"),_xlfn.XLOOKUP($B140,'CSD'!B:B,OFFSET('CSD'!$D:$D,0,1+MATCH($B$8,'CSD'!$E$4:$BF$4,0)),0),
IF(AND($A140="COMPOSICAO",$A$8="COM DESONERAÇÃO"),_xlfn.XLOOKUP($B140,'CCD'!B:B,OFFSET('CCD'!$D:$D,0,1+MATCH($B$8,'CCD'!$E$4:$BF$4,0)),0),
IF(AND($A140="COMPOSICAO",$A$8="SEM ENCARGOS SOCIAIS"),_xlfn.XLOOKUP($B140,'CSE'!B:B,OFFSET('CSE'!$D:$D,0,1+MATCH($B$8,'CSE'!$E$9:$BF$9,0)),0),""
)))))))</f>
        <v>0</v>
      </c>
    </row>
    <row r="141" spans="6:8">
      <c r="F141" s="19" cm="1">
        <f t="array" ref="F141">IF($A141="","",
IF(AND($A141="INSUMO",$A$8="SEM DESONERAÇÃO"),_xlfn.LET(_xlpm.linha_insumo,MATCH($B141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_xlpm.preco_regional_as,INDEX($M:$M,MATCH($B141&amp;"_"&amp;$B$8,$K:$K,0)),
IF(ISERROR(_xlpm.linha_insumo),0,IF(_xlpm.preco_uf&lt;&gt;0,_xlpm.preco_uf,IF(ISNUMBER(_xlpm.preco_regional_as),_xlpm.preco_regional_as,_xlpm.preco_sp)))),
IF(AND($A141="INSUMO",$A$8="COM DESONERAÇÃO"),_xlfn.LET(_xlpm.linha_insumo,MATCH($B141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_xlpm.preco_regional_as,INDEX($N:$N,MATCH($B141&amp;"_"&amp;$B$8,$K:$K,0)),
IF(ISERROR(_xlpm.linha_insumo),0,IF(_xlpm.preco_uf&lt;&gt;0,_xlpm.preco_uf,IF(ISNUMBER(_xlpm.preco_regional_as),_xlpm.preco_regional_as,_xlpm.preco_sp)))),
IF(AND($A141="INSUMO",$A$8="SEM ENCARGOS SOCIAIS"),_xlfn.LET(_xlpm.linha_insumo,MATCH($B141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_xlpm.preco_regional_as,INDEX($L:$L,MATCH($B141&amp;"_"&amp;$B$8,$K:$K,0)),
IF(ISERROR(_xlpm.linha_insumo),0,IF(_xlpm.preco_uf&lt;&gt;0,_xlpm.preco_uf,IF(ISNUMBER(_xlpm.preco_regional_as),_xlpm.preco_regional_as,_xlpm.preco_sp)))),
IF(AND($A141="COMPOSICAO",$A$8="SEM DESONERAÇÃO"),_xlfn.XLOOKUP($B141,'CSD'!B:B,OFFSET('CSD'!$D:$D,0,MATCH($B$8,'CSD'!$E$4:$BF$4,0)),0),
IF(AND($A141="COMPOSICAO",$A$8="COM DESONERAÇÃO"),_xlfn.XLOOKUP($B141,'CCD'!B:B,OFFSET('CCD'!$D:$D,0,MATCH($B$8,'CCD'!$E$4:$BF$4,0)),0),
IF(AND($A141="COMPOSICAO",$A$8="SEM ENCARGOS SOCIAIS"),_xlfn.XLOOKUP($B141,'CSE'!B:B,OFFSET('CSE'!$D:$D,0,MATCH($B$8,'CSE'!$E$9:$BF$9,0)),0),""
)))))))</f>
        <v>0</v>
      </c>
      <c r="G141" s="19">
        <f>IF($A141="","",TRUNC(E141*F141,2))</f>
        <v>0</v>
      </c>
      <c r="H141" s="20" cm="1">
        <f t="array" ref="H141">IF($A141="","",
IF(AND($A141="INSUMO",$A$8="SEM DESONERAÇÃO"),_xlfn.LET(_xlpm.linha_insumo,MATCH($B141,'ISD'!$B:$B,0),_xlpm.coluna_uf,MATCH($B$8,'ISD'!$F$4:$AF$4,0),_xlpm.preco_uf,INDEX('ISD'!$F:$AF,_xlpm.linha_insumo,_xlpm.coluna_uf),IF(ISERROR(_xlpm.linha_insumo),"",IF(_xlpm.preco_uf&lt;&gt;0,0%,100%))),
IF(AND($A141="INSUMO",$A$8="COM DESONERAÇÃO"),_xlfn.LET(_xlpm.linha_insumo,MATCH($B141,'ICD'!$B:$B,0),_xlpm.coluna_uf,MATCH($B$8,'ICD'!$F$4:$AF$4,0),_xlpm.preco_uf,INDEX('ICD'!$F:$AF,_xlpm.linha_insumo,_xlpm.coluna_uf),IF(ISERROR(_xlpm.linha_insumo),"",IF(_xlpm.preco_uf&lt;&gt;0,0%,100%))),
IF(AND($A141="INSUMO",$A$8="SEM ENCARGOS SOCIAIS"),_xlfn.LET(_xlpm.linha_insumo,MATCH($B141,'ISE'!$B:$B,0),_xlpm.coluna_uf,MATCH($B$8,'ISE'!$F$10:$AF$10,0),_xlpm.preco_uf,INDEX('ISE'!$F:$AF,_xlpm.linha_insumo,_xlpm.coluna_uf),IF(ISERROR(_xlpm.linha_insumo),"",IF(_xlpm.preco_uf&lt;&gt;0,0%,100%))),
IF(AND($A141="COMPOSICAO",$A$8="SEM DESONERAÇÃO"),_xlfn.XLOOKUP($B141,'CSD'!B:B,OFFSET('CSD'!$D:$D,0,1+MATCH($B$8,'CSD'!$E$4:$BF$4,0)),0),
IF(AND($A141="COMPOSICAO",$A$8="COM DESONERAÇÃO"),_xlfn.XLOOKUP($B141,'CCD'!B:B,OFFSET('CCD'!$D:$D,0,1+MATCH($B$8,'CCD'!$E$4:$BF$4,0)),0),
IF(AND($A141="COMPOSICAO",$A$8="SEM ENCARGOS SOCIAIS"),_xlfn.XLOOKUP($B141,'CSE'!B:B,OFFSET('CSE'!$D:$D,0,1+MATCH($B$8,'CSE'!$E$9:$BF$9,0)),0),""
)))))))</f>
        <v>0</v>
      </c>
    </row>
    <row r="142" spans="6:8">
      <c r="F142" s="19" cm="1">
        <f t="array" ref="F142">IF($A142="","",
IF(AND($A142="INSUMO",$A$8="SEM DESONERAÇÃO"),_xlfn.LET(_xlpm.linha_insumo,MATCH($B142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_xlpm.preco_regional_as,INDEX($M:$M,MATCH($B142&amp;"_"&amp;$B$8,$K:$K,0)),
IF(ISERROR(_xlpm.linha_insumo),0,IF(_xlpm.preco_uf&lt;&gt;0,_xlpm.preco_uf,IF(ISNUMBER(_xlpm.preco_regional_as),_xlpm.preco_regional_as,_xlpm.preco_sp)))),
IF(AND($A142="INSUMO",$A$8="COM DESONERAÇÃO"),_xlfn.LET(_xlpm.linha_insumo,MATCH($B142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_xlpm.preco_regional_as,INDEX($N:$N,MATCH($B142&amp;"_"&amp;$B$8,$K:$K,0)),
IF(ISERROR(_xlpm.linha_insumo),0,IF(_xlpm.preco_uf&lt;&gt;0,_xlpm.preco_uf,IF(ISNUMBER(_xlpm.preco_regional_as),_xlpm.preco_regional_as,_xlpm.preco_sp)))),
IF(AND($A142="INSUMO",$A$8="SEM ENCARGOS SOCIAIS"),_xlfn.LET(_xlpm.linha_insumo,MATCH($B142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_xlpm.preco_regional_as,INDEX($L:$L,MATCH($B142&amp;"_"&amp;$B$8,$K:$K,0)),
IF(ISERROR(_xlpm.linha_insumo),0,IF(_xlpm.preco_uf&lt;&gt;0,_xlpm.preco_uf,IF(ISNUMBER(_xlpm.preco_regional_as),_xlpm.preco_regional_as,_xlpm.preco_sp)))),
IF(AND($A142="COMPOSICAO",$A$8="SEM DESONERAÇÃO"),_xlfn.XLOOKUP($B142,'CSD'!B:B,OFFSET('CSD'!$D:$D,0,MATCH($B$8,'CSD'!$E$4:$BF$4,0)),0),
IF(AND($A142="COMPOSICAO",$A$8="COM DESONERAÇÃO"),_xlfn.XLOOKUP($B142,'CCD'!B:B,OFFSET('CCD'!$D:$D,0,MATCH($B$8,'CCD'!$E$4:$BF$4,0)),0),
IF(AND($A142="COMPOSICAO",$A$8="SEM ENCARGOS SOCIAIS"),_xlfn.XLOOKUP($B142,'CSE'!B:B,OFFSET('CSE'!$D:$D,0,MATCH($B$8,'CSE'!$E$9:$BF$9,0)),0),""
)))))))</f>
        <v>0</v>
      </c>
      <c r="G142" s="19">
        <f>IF($A142="","",TRUNC(E142*F142,2))</f>
        <v>0</v>
      </c>
      <c r="H142" s="20" cm="1">
        <f t="array" ref="H142">IF($A142="","",
IF(AND($A142="INSUMO",$A$8="SEM DESONERAÇÃO"),_xlfn.LET(_xlpm.linha_insumo,MATCH($B142,'ISD'!$B:$B,0),_xlpm.coluna_uf,MATCH($B$8,'ISD'!$F$4:$AF$4,0),_xlpm.preco_uf,INDEX('ISD'!$F:$AF,_xlpm.linha_insumo,_xlpm.coluna_uf),IF(ISERROR(_xlpm.linha_insumo),"",IF(_xlpm.preco_uf&lt;&gt;0,0%,100%))),
IF(AND($A142="INSUMO",$A$8="COM DESONERAÇÃO"),_xlfn.LET(_xlpm.linha_insumo,MATCH($B142,'ICD'!$B:$B,0),_xlpm.coluna_uf,MATCH($B$8,'ICD'!$F$4:$AF$4,0),_xlpm.preco_uf,INDEX('ICD'!$F:$AF,_xlpm.linha_insumo,_xlpm.coluna_uf),IF(ISERROR(_xlpm.linha_insumo),"",IF(_xlpm.preco_uf&lt;&gt;0,0%,100%))),
IF(AND($A142="INSUMO",$A$8="SEM ENCARGOS SOCIAIS"),_xlfn.LET(_xlpm.linha_insumo,MATCH($B142,'ISE'!$B:$B,0),_xlpm.coluna_uf,MATCH($B$8,'ISE'!$F$10:$AF$10,0),_xlpm.preco_uf,INDEX('ISE'!$F:$AF,_xlpm.linha_insumo,_xlpm.coluna_uf),IF(ISERROR(_xlpm.linha_insumo),"",IF(_xlpm.preco_uf&lt;&gt;0,0%,100%))),
IF(AND($A142="COMPOSICAO",$A$8="SEM DESONERAÇÃO"),_xlfn.XLOOKUP($B142,'CSD'!B:B,OFFSET('CSD'!$D:$D,0,1+MATCH($B$8,'CSD'!$E$4:$BF$4,0)),0),
IF(AND($A142="COMPOSICAO",$A$8="COM DESONERAÇÃO"),_xlfn.XLOOKUP($B142,'CCD'!B:B,OFFSET('CCD'!$D:$D,0,1+MATCH($B$8,'CCD'!$E$4:$BF$4,0)),0),
IF(AND($A142="COMPOSICAO",$A$8="SEM ENCARGOS SOCIAIS"),_xlfn.XLOOKUP($B142,'CSE'!B:B,OFFSET('CSE'!$D:$D,0,1+MATCH($B$8,'CSE'!$E$9:$BF$9,0)),0),""
)))))))</f>
        <v>0</v>
      </c>
    </row>
    <row r="143" spans="6:8">
      <c r="F143" s="19" cm="1">
        <f t="array" ref="F143">IF($A143="","",
IF(AND($A143="INSUMO",$A$8="SEM DESONERAÇÃO"),_xlfn.LET(_xlpm.linha_insumo,MATCH($B143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_xlpm.preco_regional_as,INDEX($M:$M,MATCH($B143&amp;"_"&amp;$B$8,$K:$K,0)),
IF(ISERROR(_xlpm.linha_insumo),0,IF(_xlpm.preco_uf&lt;&gt;0,_xlpm.preco_uf,IF(ISNUMBER(_xlpm.preco_regional_as),_xlpm.preco_regional_as,_xlpm.preco_sp)))),
IF(AND($A143="INSUMO",$A$8="COM DESONERAÇÃO"),_xlfn.LET(_xlpm.linha_insumo,MATCH($B143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_xlpm.preco_regional_as,INDEX($N:$N,MATCH($B143&amp;"_"&amp;$B$8,$K:$K,0)),
IF(ISERROR(_xlpm.linha_insumo),0,IF(_xlpm.preco_uf&lt;&gt;0,_xlpm.preco_uf,IF(ISNUMBER(_xlpm.preco_regional_as),_xlpm.preco_regional_as,_xlpm.preco_sp)))),
IF(AND($A143="INSUMO",$A$8="SEM ENCARGOS SOCIAIS"),_xlfn.LET(_xlpm.linha_insumo,MATCH($B143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_xlpm.preco_regional_as,INDEX($L:$L,MATCH($B143&amp;"_"&amp;$B$8,$K:$K,0)),
IF(ISERROR(_xlpm.linha_insumo),0,IF(_xlpm.preco_uf&lt;&gt;0,_xlpm.preco_uf,IF(ISNUMBER(_xlpm.preco_regional_as),_xlpm.preco_regional_as,_xlpm.preco_sp)))),
IF(AND($A143="COMPOSICAO",$A$8="SEM DESONERAÇÃO"),_xlfn.XLOOKUP($B143,'CSD'!B:B,OFFSET('CSD'!$D:$D,0,MATCH($B$8,'CSD'!$E$4:$BF$4,0)),0),
IF(AND($A143="COMPOSICAO",$A$8="COM DESONERAÇÃO"),_xlfn.XLOOKUP($B143,'CCD'!B:B,OFFSET('CCD'!$D:$D,0,MATCH($B$8,'CCD'!$E$4:$BF$4,0)),0),
IF(AND($A143="COMPOSICAO",$A$8="SEM ENCARGOS SOCIAIS"),_xlfn.XLOOKUP($B143,'CSE'!B:B,OFFSET('CSE'!$D:$D,0,MATCH($B$8,'CSE'!$E$9:$BF$9,0)),0),""
)))))))</f>
        <v>0</v>
      </c>
      <c r="G143" s="19">
        <f>IF($A143="","",TRUNC(E143*F143,2))</f>
        <v>0</v>
      </c>
      <c r="H143" s="20" cm="1">
        <f t="array" ref="H143">IF($A143="","",
IF(AND($A143="INSUMO",$A$8="SEM DESONERAÇÃO"),_xlfn.LET(_xlpm.linha_insumo,MATCH($B143,'ISD'!$B:$B,0),_xlpm.coluna_uf,MATCH($B$8,'ISD'!$F$4:$AF$4,0),_xlpm.preco_uf,INDEX('ISD'!$F:$AF,_xlpm.linha_insumo,_xlpm.coluna_uf),IF(ISERROR(_xlpm.linha_insumo),"",IF(_xlpm.preco_uf&lt;&gt;0,0%,100%))),
IF(AND($A143="INSUMO",$A$8="COM DESONERAÇÃO"),_xlfn.LET(_xlpm.linha_insumo,MATCH($B143,'ICD'!$B:$B,0),_xlpm.coluna_uf,MATCH($B$8,'ICD'!$F$4:$AF$4,0),_xlpm.preco_uf,INDEX('ICD'!$F:$AF,_xlpm.linha_insumo,_xlpm.coluna_uf),IF(ISERROR(_xlpm.linha_insumo),"",IF(_xlpm.preco_uf&lt;&gt;0,0%,100%))),
IF(AND($A143="INSUMO",$A$8="SEM ENCARGOS SOCIAIS"),_xlfn.LET(_xlpm.linha_insumo,MATCH($B143,'ISE'!$B:$B,0),_xlpm.coluna_uf,MATCH($B$8,'ISE'!$F$10:$AF$10,0),_xlpm.preco_uf,INDEX('ISE'!$F:$AF,_xlpm.linha_insumo,_xlpm.coluna_uf),IF(ISERROR(_xlpm.linha_insumo),"",IF(_xlpm.preco_uf&lt;&gt;0,0%,100%))),
IF(AND($A143="COMPOSICAO",$A$8="SEM DESONERAÇÃO"),_xlfn.XLOOKUP($B143,'CSD'!B:B,OFFSET('CSD'!$D:$D,0,1+MATCH($B$8,'CSD'!$E$4:$BF$4,0)),0),
IF(AND($A143="COMPOSICAO",$A$8="COM DESONERAÇÃO"),_xlfn.XLOOKUP($B143,'CCD'!B:B,OFFSET('CCD'!$D:$D,0,1+MATCH($B$8,'CCD'!$E$4:$BF$4,0)),0),
IF(AND($A143="COMPOSICAO",$A$8="SEM ENCARGOS SOCIAIS"),_xlfn.XLOOKUP($B143,'CSE'!B:B,OFFSET('CSE'!$D:$D,0,1+MATCH($B$8,'CSE'!$E$9:$BF$9,0)),0),""
)))))))</f>
        <v>0</v>
      </c>
    </row>
    <row r="144" spans="6:8">
      <c r="F144" s="19" cm="1">
        <f t="array" ref="F144">IF($A144="","",
IF(AND($A144="INSUMO",$A$8="SEM DESONERAÇÃO"),_xlfn.LET(_xlpm.linha_insumo,MATCH($B144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_xlpm.preco_regional_as,INDEX($M:$M,MATCH($B144&amp;"_"&amp;$B$8,$K:$K,0)),
IF(ISERROR(_xlpm.linha_insumo),0,IF(_xlpm.preco_uf&lt;&gt;0,_xlpm.preco_uf,IF(ISNUMBER(_xlpm.preco_regional_as),_xlpm.preco_regional_as,_xlpm.preco_sp)))),
IF(AND($A144="INSUMO",$A$8="COM DESONERAÇÃO"),_xlfn.LET(_xlpm.linha_insumo,MATCH($B144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_xlpm.preco_regional_as,INDEX($N:$N,MATCH($B144&amp;"_"&amp;$B$8,$K:$K,0)),
IF(ISERROR(_xlpm.linha_insumo),0,IF(_xlpm.preco_uf&lt;&gt;0,_xlpm.preco_uf,IF(ISNUMBER(_xlpm.preco_regional_as),_xlpm.preco_regional_as,_xlpm.preco_sp)))),
IF(AND($A144="INSUMO",$A$8="SEM ENCARGOS SOCIAIS"),_xlfn.LET(_xlpm.linha_insumo,MATCH($B144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_xlpm.preco_regional_as,INDEX($L:$L,MATCH($B144&amp;"_"&amp;$B$8,$K:$K,0)),
IF(ISERROR(_xlpm.linha_insumo),0,IF(_xlpm.preco_uf&lt;&gt;0,_xlpm.preco_uf,IF(ISNUMBER(_xlpm.preco_regional_as),_xlpm.preco_regional_as,_xlpm.preco_sp)))),
IF(AND($A144="COMPOSICAO",$A$8="SEM DESONERAÇÃO"),_xlfn.XLOOKUP($B144,'CSD'!B:B,OFFSET('CSD'!$D:$D,0,MATCH($B$8,'CSD'!$E$4:$BF$4,0)),0),
IF(AND($A144="COMPOSICAO",$A$8="COM DESONERAÇÃO"),_xlfn.XLOOKUP($B144,'CCD'!B:B,OFFSET('CCD'!$D:$D,0,MATCH($B$8,'CCD'!$E$4:$BF$4,0)),0),
IF(AND($A144="COMPOSICAO",$A$8="SEM ENCARGOS SOCIAIS"),_xlfn.XLOOKUP($B144,'CSE'!B:B,OFFSET('CSE'!$D:$D,0,MATCH($B$8,'CSE'!$E$9:$BF$9,0)),0),""
)))))))</f>
        <v>0</v>
      </c>
      <c r="G144" s="19">
        <f>IF($A144="","",TRUNC(E144*F144,2))</f>
        <v>0</v>
      </c>
      <c r="H144" s="20" cm="1">
        <f t="array" ref="H144">IF($A144="","",
IF(AND($A144="INSUMO",$A$8="SEM DESONERAÇÃO"),_xlfn.LET(_xlpm.linha_insumo,MATCH($B144,'ISD'!$B:$B,0),_xlpm.coluna_uf,MATCH($B$8,'ISD'!$F$4:$AF$4,0),_xlpm.preco_uf,INDEX('ISD'!$F:$AF,_xlpm.linha_insumo,_xlpm.coluna_uf),IF(ISERROR(_xlpm.linha_insumo),"",IF(_xlpm.preco_uf&lt;&gt;0,0%,100%))),
IF(AND($A144="INSUMO",$A$8="COM DESONERAÇÃO"),_xlfn.LET(_xlpm.linha_insumo,MATCH($B144,'ICD'!$B:$B,0),_xlpm.coluna_uf,MATCH($B$8,'ICD'!$F$4:$AF$4,0),_xlpm.preco_uf,INDEX('ICD'!$F:$AF,_xlpm.linha_insumo,_xlpm.coluna_uf),IF(ISERROR(_xlpm.linha_insumo),"",IF(_xlpm.preco_uf&lt;&gt;0,0%,100%))),
IF(AND($A144="INSUMO",$A$8="SEM ENCARGOS SOCIAIS"),_xlfn.LET(_xlpm.linha_insumo,MATCH($B144,'ISE'!$B:$B,0),_xlpm.coluna_uf,MATCH($B$8,'ISE'!$F$10:$AF$10,0),_xlpm.preco_uf,INDEX('ISE'!$F:$AF,_xlpm.linha_insumo,_xlpm.coluna_uf),IF(ISERROR(_xlpm.linha_insumo),"",IF(_xlpm.preco_uf&lt;&gt;0,0%,100%))),
IF(AND($A144="COMPOSICAO",$A$8="SEM DESONERAÇÃO"),_xlfn.XLOOKUP($B144,'CSD'!B:B,OFFSET('CSD'!$D:$D,0,1+MATCH($B$8,'CSD'!$E$4:$BF$4,0)),0),
IF(AND($A144="COMPOSICAO",$A$8="COM DESONERAÇÃO"),_xlfn.XLOOKUP($B144,'CCD'!B:B,OFFSET('CCD'!$D:$D,0,1+MATCH($B$8,'CCD'!$E$4:$BF$4,0)),0),
IF(AND($A144="COMPOSICAO",$A$8="SEM ENCARGOS SOCIAIS"),_xlfn.XLOOKUP($B144,'CSE'!B:B,OFFSET('CSE'!$D:$D,0,1+MATCH($B$8,'CSE'!$E$9:$BF$9,0)),0),""
)))))))</f>
        <v>0</v>
      </c>
    </row>
    <row r="145" spans="6:8">
      <c r="F145" s="19" cm="1">
        <f t="array" ref="F145">IF($A145="","",
IF(AND($A145="INSUMO",$A$8="SEM DESONERAÇÃO"),_xlfn.LET(_xlpm.linha_insumo,MATCH($B145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_xlpm.preco_regional_as,INDEX($M:$M,MATCH($B145&amp;"_"&amp;$B$8,$K:$K,0)),
IF(ISERROR(_xlpm.linha_insumo),0,IF(_xlpm.preco_uf&lt;&gt;0,_xlpm.preco_uf,IF(ISNUMBER(_xlpm.preco_regional_as),_xlpm.preco_regional_as,_xlpm.preco_sp)))),
IF(AND($A145="INSUMO",$A$8="COM DESONERAÇÃO"),_xlfn.LET(_xlpm.linha_insumo,MATCH($B145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_xlpm.preco_regional_as,INDEX($N:$N,MATCH($B145&amp;"_"&amp;$B$8,$K:$K,0)),
IF(ISERROR(_xlpm.linha_insumo),0,IF(_xlpm.preco_uf&lt;&gt;0,_xlpm.preco_uf,IF(ISNUMBER(_xlpm.preco_regional_as),_xlpm.preco_regional_as,_xlpm.preco_sp)))),
IF(AND($A145="INSUMO",$A$8="SEM ENCARGOS SOCIAIS"),_xlfn.LET(_xlpm.linha_insumo,MATCH($B145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_xlpm.preco_regional_as,INDEX($L:$L,MATCH($B145&amp;"_"&amp;$B$8,$K:$K,0)),
IF(ISERROR(_xlpm.linha_insumo),0,IF(_xlpm.preco_uf&lt;&gt;0,_xlpm.preco_uf,IF(ISNUMBER(_xlpm.preco_regional_as),_xlpm.preco_regional_as,_xlpm.preco_sp)))),
IF(AND($A145="COMPOSICAO",$A$8="SEM DESONERAÇÃO"),_xlfn.XLOOKUP($B145,'CSD'!B:B,OFFSET('CSD'!$D:$D,0,MATCH($B$8,'CSD'!$E$4:$BF$4,0)),0),
IF(AND($A145="COMPOSICAO",$A$8="COM DESONERAÇÃO"),_xlfn.XLOOKUP($B145,'CCD'!B:B,OFFSET('CCD'!$D:$D,0,MATCH($B$8,'CCD'!$E$4:$BF$4,0)),0),
IF(AND($A145="COMPOSICAO",$A$8="SEM ENCARGOS SOCIAIS"),_xlfn.XLOOKUP($B145,'CSE'!B:B,OFFSET('CSE'!$D:$D,0,MATCH($B$8,'CSE'!$E$9:$BF$9,0)),0),""
)))))))</f>
        <v>0</v>
      </c>
      <c r="G145" s="19">
        <f>IF($A145="","",TRUNC(E145*F145,2))</f>
        <v>0</v>
      </c>
      <c r="H145" s="20" cm="1">
        <f t="array" ref="H145">IF($A145="","",
IF(AND($A145="INSUMO",$A$8="SEM DESONERAÇÃO"),_xlfn.LET(_xlpm.linha_insumo,MATCH($B145,'ISD'!$B:$B,0),_xlpm.coluna_uf,MATCH($B$8,'ISD'!$F$4:$AF$4,0),_xlpm.preco_uf,INDEX('ISD'!$F:$AF,_xlpm.linha_insumo,_xlpm.coluna_uf),IF(ISERROR(_xlpm.linha_insumo),"",IF(_xlpm.preco_uf&lt;&gt;0,0%,100%))),
IF(AND($A145="INSUMO",$A$8="COM DESONERAÇÃO"),_xlfn.LET(_xlpm.linha_insumo,MATCH($B145,'ICD'!$B:$B,0),_xlpm.coluna_uf,MATCH($B$8,'ICD'!$F$4:$AF$4,0),_xlpm.preco_uf,INDEX('ICD'!$F:$AF,_xlpm.linha_insumo,_xlpm.coluna_uf),IF(ISERROR(_xlpm.linha_insumo),"",IF(_xlpm.preco_uf&lt;&gt;0,0%,100%))),
IF(AND($A145="INSUMO",$A$8="SEM ENCARGOS SOCIAIS"),_xlfn.LET(_xlpm.linha_insumo,MATCH($B145,'ISE'!$B:$B,0),_xlpm.coluna_uf,MATCH($B$8,'ISE'!$F$10:$AF$10,0),_xlpm.preco_uf,INDEX('ISE'!$F:$AF,_xlpm.linha_insumo,_xlpm.coluna_uf),IF(ISERROR(_xlpm.linha_insumo),"",IF(_xlpm.preco_uf&lt;&gt;0,0%,100%))),
IF(AND($A145="COMPOSICAO",$A$8="SEM DESONERAÇÃO"),_xlfn.XLOOKUP($B145,'CSD'!B:B,OFFSET('CSD'!$D:$D,0,1+MATCH($B$8,'CSD'!$E$4:$BF$4,0)),0),
IF(AND($A145="COMPOSICAO",$A$8="COM DESONERAÇÃO"),_xlfn.XLOOKUP($B145,'CCD'!B:B,OFFSET('CCD'!$D:$D,0,1+MATCH($B$8,'CCD'!$E$4:$BF$4,0)),0),
IF(AND($A145="COMPOSICAO",$A$8="SEM ENCARGOS SOCIAIS"),_xlfn.XLOOKUP($B145,'CSE'!B:B,OFFSET('CSE'!$D:$D,0,1+MATCH($B$8,'CSE'!$E$9:$BF$9,0)),0),""
)))))))</f>
        <v>0</v>
      </c>
    </row>
    <row r="146" spans="6:8">
      <c r="F146" s="19" cm="1">
        <f t="array" ref="F146">IF($A146="","",
IF(AND($A146="INSUMO",$A$8="SEM DESONERAÇÃO"),_xlfn.LET(_xlpm.linha_insumo,MATCH($B146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_xlpm.preco_regional_as,INDEX($M:$M,MATCH($B146&amp;"_"&amp;$B$8,$K:$K,0)),
IF(ISERROR(_xlpm.linha_insumo),0,IF(_xlpm.preco_uf&lt;&gt;0,_xlpm.preco_uf,IF(ISNUMBER(_xlpm.preco_regional_as),_xlpm.preco_regional_as,_xlpm.preco_sp)))),
IF(AND($A146="INSUMO",$A$8="COM DESONERAÇÃO"),_xlfn.LET(_xlpm.linha_insumo,MATCH($B146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_xlpm.preco_regional_as,INDEX($N:$N,MATCH($B146&amp;"_"&amp;$B$8,$K:$K,0)),
IF(ISERROR(_xlpm.linha_insumo),0,IF(_xlpm.preco_uf&lt;&gt;0,_xlpm.preco_uf,IF(ISNUMBER(_xlpm.preco_regional_as),_xlpm.preco_regional_as,_xlpm.preco_sp)))),
IF(AND($A146="INSUMO",$A$8="SEM ENCARGOS SOCIAIS"),_xlfn.LET(_xlpm.linha_insumo,MATCH($B146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_xlpm.preco_regional_as,INDEX($L:$L,MATCH($B146&amp;"_"&amp;$B$8,$K:$K,0)),
IF(ISERROR(_xlpm.linha_insumo),0,IF(_xlpm.preco_uf&lt;&gt;0,_xlpm.preco_uf,IF(ISNUMBER(_xlpm.preco_regional_as),_xlpm.preco_regional_as,_xlpm.preco_sp)))),
IF(AND($A146="COMPOSICAO",$A$8="SEM DESONERAÇÃO"),_xlfn.XLOOKUP($B146,'CSD'!B:B,OFFSET('CSD'!$D:$D,0,MATCH($B$8,'CSD'!$E$4:$BF$4,0)),0),
IF(AND($A146="COMPOSICAO",$A$8="COM DESONERAÇÃO"),_xlfn.XLOOKUP($B146,'CCD'!B:B,OFFSET('CCD'!$D:$D,0,MATCH($B$8,'CCD'!$E$4:$BF$4,0)),0),
IF(AND($A146="COMPOSICAO",$A$8="SEM ENCARGOS SOCIAIS"),_xlfn.XLOOKUP($B146,'CSE'!B:B,OFFSET('CSE'!$D:$D,0,MATCH($B$8,'CSE'!$E$9:$BF$9,0)),0),""
)))))))</f>
        <v>0</v>
      </c>
      <c r="G146" s="19">
        <f>IF($A146="","",TRUNC(E146*F146,2))</f>
        <v>0</v>
      </c>
      <c r="H146" s="20" cm="1">
        <f t="array" ref="H146">IF($A146="","",
IF(AND($A146="INSUMO",$A$8="SEM DESONERAÇÃO"),_xlfn.LET(_xlpm.linha_insumo,MATCH($B146,'ISD'!$B:$B,0),_xlpm.coluna_uf,MATCH($B$8,'ISD'!$F$4:$AF$4,0),_xlpm.preco_uf,INDEX('ISD'!$F:$AF,_xlpm.linha_insumo,_xlpm.coluna_uf),IF(ISERROR(_xlpm.linha_insumo),"",IF(_xlpm.preco_uf&lt;&gt;0,0%,100%))),
IF(AND($A146="INSUMO",$A$8="COM DESONERAÇÃO"),_xlfn.LET(_xlpm.linha_insumo,MATCH($B146,'ICD'!$B:$B,0),_xlpm.coluna_uf,MATCH($B$8,'ICD'!$F$4:$AF$4,0),_xlpm.preco_uf,INDEX('ICD'!$F:$AF,_xlpm.linha_insumo,_xlpm.coluna_uf),IF(ISERROR(_xlpm.linha_insumo),"",IF(_xlpm.preco_uf&lt;&gt;0,0%,100%))),
IF(AND($A146="INSUMO",$A$8="SEM ENCARGOS SOCIAIS"),_xlfn.LET(_xlpm.linha_insumo,MATCH($B146,'ISE'!$B:$B,0),_xlpm.coluna_uf,MATCH($B$8,'ISE'!$F$10:$AF$10,0),_xlpm.preco_uf,INDEX('ISE'!$F:$AF,_xlpm.linha_insumo,_xlpm.coluna_uf),IF(ISERROR(_xlpm.linha_insumo),"",IF(_xlpm.preco_uf&lt;&gt;0,0%,100%))),
IF(AND($A146="COMPOSICAO",$A$8="SEM DESONERAÇÃO"),_xlfn.XLOOKUP($B146,'CSD'!B:B,OFFSET('CSD'!$D:$D,0,1+MATCH($B$8,'CSD'!$E$4:$BF$4,0)),0),
IF(AND($A146="COMPOSICAO",$A$8="COM DESONERAÇÃO"),_xlfn.XLOOKUP($B146,'CCD'!B:B,OFFSET('CCD'!$D:$D,0,1+MATCH($B$8,'CCD'!$E$4:$BF$4,0)),0),
IF(AND($A146="COMPOSICAO",$A$8="SEM ENCARGOS SOCIAIS"),_xlfn.XLOOKUP($B146,'CSE'!B:B,OFFSET('CSE'!$D:$D,0,1+MATCH($B$8,'CSE'!$E$9:$BF$9,0)),0),""
)))))))</f>
        <v>0</v>
      </c>
    </row>
    <row r="147" spans="6:8">
      <c r="F147" s="19" cm="1">
        <f t="array" ref="F147">IF($A147="","",
IF(AND($A147="INSUMO",$A$8="SEM DESONERAÇÃO"),_xlfn.LET(_xlpm.linha_insumo,MATCH($B147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_xlpm.preco_regional_as,INDEX($M:$M,MATCH($B147&amp;"_"&amp;$B$8,$K:$K,0)),
IF(ISERROR(_xlpm.linha_insumo),0,IF(_xlpm.preco_uf&lt;&gt;0,_xlpm.preco_uf,IF(ISNUMBER(_xlpm.preco_regional_as),_xlpm.preco_regional_as,_xlpm.preco_sp)))),
IF(AND($A147="INSUMO",$A$8="COM DESONERAÇÃO"),_xlfn.LET(_xlpm.linha_insumo,MATCH($B147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_xlpm.preco_regional_as,INDEX($N:$N,MATCH($B147&amp;"_"&amp;$B$8,$K:$K,0)),
IF(ISERROR(_xlpm.linha_insumo),0,IF(_xlpm.preco_uf&lt;&gt;0,_xlpm.preco_uf,IF(ISNUMBER(_xlpm.preco_regional_as),_xlpm.preco_regional_as,_xlpm.preco_sp)))),
IF(AND($A147="INSUMO",$A$8="SEM ENCARGOS SOCIAIS"),_xlfn.LET(_xlpm.linha_insumo,MATCH($B147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_xlpm.preco_regional_as,INDEX($L:$L,MATCH($B147&amp;"_"&amp;$B$8,$K:$K,0)),
IF(ISERROR(_xlpm.linha_insumo),0,IF(_xlpm.preco_uf&lt;&gt;0,_xlpm.preco_uf,IF(ISNUMBER(_xlpm.preco_regional_as),_xlpm.preco_regional_as,_xlpm.preco_sp)))),
IF(AND($A147="COMPOSICAO",$A$8="SEM DESONERAÇÃO"),_xlfn.XLOOKUP($B147,'CSD'!B:B,OFFSET('CSD'!$D:$D,0,MATCH($B$8,'CSD'!$E$4:$BF$4,0)),0),
IF(AND($A147="COMPOSICAO",$A$8="COM DESONERAÇÃO"),_xlfn.XLOOKUP($B147,'CCD'!B:B,OFFSET('CCD'!$D:$D,0,MATCH($B$8,'CCD'!$E$4:$BF$4,0)),0),
IF(AND($A147="COMPOSICAO",$A$8="SEM ENCARGOS SOCIAIS"),_xlfn.XLOOKUP($B147,'CSE'!B:B,OFFSET('CSE'!$D:$D,0,MATCH($B$8,'CSE'!$E$9:$BF$9,0)),0),""
)))))))</f>
        <v>0</v>
      </c>
      <c r="G147" s="19">
        <f>IF($A147="","",TRUNC(E147*F147,2))</f>
        <v>0</v>
      </c>
      <c r="H147" s="20" cm="1">
        <f t="array" ref="H147">IF($A147="","",
IF(AND($A147="INSUMO",$A$8="SEM DESONERAÇÃO"),_xlfn.LET(_xlpm.linha_insumo,MATCH($B147,'ISD'!$B:$B,0),_xlpm.coluna_uf,MATCH($B$8,'ISD'!$F$4:$AF$4,0),_xlpm.preco_uf,INDEX('ISD'!$F:$AF,_xlpm.linha_insumo,_xlpm.coluna_uf),IF(ISERROR(_xlpm.linha_insumo),"",IF(_xlpm.preco_uf&lt;&gt;0,0%,100%))),
IF(AND($A147="INSUMO",$A$8="COM DESONERAÇÃO"),_xlfn.LET(_xlpm.linha_insumo,MATCH($B147,'ICD'!$B:$B,0),_xlpm.coluna_uf,MATCH($B$8,'ICD'!$F$4:$AF$4,0),_xlpm.preco_uf,INDEX('ICD'!$F:$AF,_xlpm.linha_insumo,_xlpm.coluna_uf),IF(ISERROR(_xlpm.linha_insumo),"",IF(_xlpm.preco_uf&lt;&gt;0,0%,100%))),
IF(AND($A147="INSUMO",$A$8="SEM ENCARGOS SOCIAIS"),_xlfn.LET(_xlpm.linha_insumo,MATCH($B147,'ISE'!$B:$B,0),_xlpm.coluna_uf,MATCH($B$8,'ISE'!$F$10:$AF$10,0),_xlpm.preco_uf,INDEX('ISE'!$F:$AF,_xlpm.linha_insumo,_xlpm.coluna_uf),IF(ISERROR(_xlpm.linha_insumo),"",IF(_xlpm.preco_uf&lt;&gt;0,0%,100%))),
IF(AND($A147="COMPOSICAO",$A$8="SEM DESONERAÇÃO"),_xlfn.XLOOKUP($B147,'CSD'!B:B,OFFSET('CSD'!$D:$D,0,1+MATCH($B$8,'CSD'!$E$4:$BF$4,0)),0),
IF(AND($A147="COMPOSICAO",$A$8="COM DESONERAÇÃO"),_xlfn.XLOOKUP($B147,'CCD'!B:B,OFFSET('CCD'!$D:$D,0,1+MATCH($B$8,'CCD'!$E$4:$BF$4,0)),0),
IF(AND($A147="COMPOSICAO",$A$8="SEM ENCARGOS SOCIAIS"),_xlfn.XLOOKUP($B147,'CSE'!B:B,OFFSET('CSE'!$D:$D,0,1+MATCH($B$8,'CSE'!$E$9:$BF$9,0)),0),""
)))))))</f>
        <v>0</v>
      </c>
    </row>
    <row r="148" spans="6:8">
      <c r="F148" s="19" cm="1">
        <f t="array" ref="F148">IF($A148="","",
IF(AND($A148="INSUMO",$A$8="SEM DESONERAÇÃO"),_xlfn.LET(_xlpm.linha_insumo,MATCH($B148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_xlpm.preco_regional_as,INDEX($M:$M,MATCH($B148&amp;"_"&amp;$B$8,$K:$K,0)),
IF(ISERROR(_xlpm.linha_insumo),0,IF(_xlpm.preco_uf&lt;&gt;0,_xlpm.preco_uf,IF(ISNUMBER(_xlpm.preco_regional_as),_xlpm.preco_regional_as,_xlpm.preco_sp)))),
IF(AND($A148="INSUMO",$A$8="COM DESONERAÇÃO"),_xlfn.LET(_xlpm.linha_insumo,MATCH($B148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_xlpm.preco_regional_as,INDEX($N:$N,MATCH($B148&amp;"_"&amp;$B$8,$K:$K,0)),
IF(ISERROR(_xlpm.linha_insumo),0,IF(_xlpm.preco_uf&lt;&gt;0,_xlpm.preco_uf,IF(ISNUMBER(_xlpm.preco_regional_as),_xlpm.preco_regional_as,_xlpm.preco_sp)))),
IF(AND($A148="INSUMO",$A$8="SEM ENCARGOS SOCIAIS"),_xlfn.LET(_xlpm.linha_insumo,MATCH($B148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_xlpm.preco_regional_as,INDEX($L:$L,MATCH($B148&amp;"_"&amp;$B$8,$K:$K,0)),
IF(ISERROR(_xlpm.linha_insumo),0,IF(_xlpm.preco_uf&lt;&gt;0,_xlpm.preco_uf,IF(ISNUMBER(_xlpm.preco_regional_as),_xlpm.preco_regional_as,_xlpm.preco_sp)))),
IF(AND($A148="COMPOSICAO",$A$8="SEM DESONERAÇÃO"),_xlfn.XLOOKUP($B148,'CSD'!B:B,OFFSET('CSD'!$D:$D,0,MATCH($B$8,'CSD'!$E$4:$BF$4,0)),0),
IF(AND($A148="COMPOSICAO",$A$8="COM DESONERAÇÃO"),_xlfn.XLOOKUP($B148,'CCD'!B:B,OFFSET('CCD'!$D:$D,0,MATCH($B$8,'CCD'!$E$4:$BF$4,0)),0),
IF(AND($A148="COMPOSICAO",$A$8="SEM ENCARGOS SOCIAIS"),_xlfn.XLOOKUP($B148,'CSE'!B:B,OFFSET('CSE'!$D:$D,0,MATCH($B$8,'CSE'!$E$9:$BF$9,0)),0),""
)))))))</f>
        <v>0</v>
      </c>
      <c r="G148" s="19">
        <f>IF($A148="","",TRUNC(E148*F148,2))</f>
        <v>0</v>
      </c>
      <c r="H148" s="20" cm="1">
        <f t="array" ref="H148">IF($A148="","",
IF(AND($A148="INSUMO",$A$8="SEM DESONERAÇÃO"),_xlfn.LET(_xlpm.linha_insumo,MATCH($B148,'ISD'!$B:$B,0),_xlpm.coluna_uf,MATCH($B$8,'ISD'!$F$4:$AF$4,0),_xlpm.preco_uf,INDEX('ISD'!$F:$AF,_xlpm.linha_insumo,_xlpm.coluna_uf),IF(ISERROR(_xlpm.linha_insumo),"",IF(_xlpm.preco_uf&lt;&gt;0,0%,100%))),
IF(AND($A148="INSUMO",$A$8="COM DESONERAÇÃO"),_xlfn.LET(_xlpm.linha_insumo,MATCH($B148,'ICD'!$B:$B,0),_xlpm.coluna_uf,MATCH($B$8,'ICD'!$F$4:$AF$4,0),_xlpm.preco_uf,INDEX('ICD'!$F:$AF,_xlpm.linha_insumo,_xlpm.coluna_uf),IF(ISERROR(_xlpm.linha_insumo),"",IF(_xlpm.preco_uf&lt;&gt;0,0%,100%))),
IF(AND($A148="INSUMO",$A$8="SEM ENCARGOS SOCIAIS"),_xlfn.LET(_xlpm.linha_insumo,MATCH($B148,'ISE'!$B:$B,0),_xlpm.coluna_uf,MATCH($B$8,'ISE'!$F$10:$AF$10,0),_xlpm.preco_uf,INDEX('ISE'!$F:$AF,_xlpm.linha_insumo,_xlpm.coluna_uf),IF(ISERROR(_xlpm.linha_insumo),"",IF(_xlpm.preco_uf&lt;&gt;0,0%,100%))),
IF(AND($A148="COMPOSICAO",$A$8="SEM DESONERAÇÃO"),_xlfn.XLOOKUP($B148,'CSD'!B:B,OFFSET('CSD'!$D:$D,0,1+MATCH($B$8,'CSD'!$E$4:$BF$4,0)),0),
IF(AND($A148="COMPOSICAO",$A$8="COM DESONERAÇÃO"),_xlfn.XLOOKUP($B148,'CCD'!B:B,OFFSET('CCD'!$D:$D,0,1+MATCH($B$8,'CCD'!$E$4:$BF$4,0)),0),
IF(AND($A148="COMPOSICAO",$A$8="SEM ENCARGOS SOCIAIS"),_xlfn.XLOOKUP($B148,'CSE'!B:B,OFFSET('CSE'!$D:$D,0,1+MATCH($B$8,'CSE'!$E$9:$BF$9,0)),0),""
)))))))</f>
        <v>0</v>
      </c>
    </row>
    <row r="149" spans="6:8">
      <c r="F149" s="19" cm="1">
        <f t="array" ref="F149">IF($A149="","",
IF(AND($A149="INSUMO",$A$8="SEM DESONERAÇÃO"),_xlfn.LET(_xlpm.linha_insumo,MATCH($B149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_xlpm.preco_regional_as,INDEX($M:$M,MATCH($B149&amp;"_"&amp;$B$8,$K:$K,0)),
IF(ISERROR(_xlpm.linha_insumo),0,IF(_xlpm.preco_uf&lt;&gt;0,_xlpm.preco_uf,IF(ISNUMBER(_xlpm.preco_regional_as),_xlpm.preco_regional_as,_xlpm.preco_sp)))),
IF(AND($A149="INSUMO",$A$8="COM DESONERAÇÃO"),_xlfn.LET(_xlpm.linha_insumo,MATCH($B149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_xlpm.preco_regional_as,INDEX($N:$N,MATCH($B149&amp;"_"&amp;$B$8,$K:$K,0)),
IF(ISERROR(_xlpm.linha_insumo),0,IF(_xlpm.preco_uf&lt;&gt;0,_xlpm.preco_uf,IF(ISNUMBER(_xlpm.preco_regional_as),_xlpm.preco_regional_as,_xlpm.preco_sp)))),
IF(AND($A149="INSUMO",$A$8="SEM ENCARGOS SOCIAIS"),_xlfn.LET(_xlpm.linha_insumo,MATCH($B149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_xlpm.preco_regional_as,INDEX($L:$L,MATCH($B149&amp;"_"&amp;$B$8,$K:$K,0)),
IF(ISERROR(_xlpm.linha_insumo),0,IF(_xlpm.preco_uf&lt;&gt;0,_xlpm.preco_uf,IF(ISNUMBER(_xlpm.preco_regional_as),_xlpm.preco_regional_as,_xlpm.preco_sp)))),
IF(AND($A149="COMPOSICAO",$A$8="SEM DESONERAÇÃO"),_xlfn.XLOOKUP($B149,'CSD'!B:B,OFFSET('CSD'!$D:$D,0,MATCH($B$8,'CSD'!$E$4:$BF$4,0)),0),
IF(AND($A149="COMPOSICAO",$A$8="COM DESONERAÇÃO"),_xlfn.XLOOKUP($B149,'CCD'!B:B,OFFSET('CCD'!$D:$D,0,MATCH($B$8,'CCD'!$E$4:$BF$4,0)),0),
IF(AND($A149="COMPOSICAO",$A$8="SEM ENCARGOS SOCIAIS"),_xlfn.XLOOKUP($B149,'CSE'!B:B,OFFSET('CSE'!$D:$D,0,MATCH($B$8,'CSE'!$E$9:$BF$9,0)),0),""
)))))))</f>
        <v>0</v>
      </c>
      <c r="G149" s="19">
        <f>IF($A149="","",TRUNC(E149*F149,2))</f>
        <v>0</v>
      </c>
      <c r="H149" s="20" cm="1">
        <f t="array" ref="H149">IF($A149="","",
IF(AND($A149="INSUMO",$A$8="SEM DESONERAÇÃO"),_xlfn.LET(_xlpm.linha_insumo,MATCH($B149,'ISD'!$B:$B,0),_xlpm.coluna_uf,MATCH($B$8,'ISD'!$F$4:$AF$4,0),_xlpm.preco_uf,INDEX('ISD'!$F:$AF,_xlpm.linha_insumo,_xlpm.coluna_uf),IF(ISERROR(_xlpm.linha_insumo),"",IF(_xlpm.preco_uf&lt;&gt;0,0%,100%))),
IF(AND($A149="INSUMO",$A$8="COM DESONERAÇÃO"),_xlfn.LET(_xlpm.linha_insumo,MATCH($B149,'ICD'!$B:$B,0),_xlpm.coluna_uf,MATCH($B$8,'ICD'!$F$4:$AF$4,0),_xlpm.preco_uf,INDEX('ICD'!$F:$AF,_xlpm.linha_insumo,_xlpm.coluna_uf),IF(ISERROR(_xlpm.linha_insumo),"",IF(_xlpm.preco_uf&lt;&gt;0,0%,100%))),
IF(AND($A149="INSUMO",$A$8="SEM ENCARGOS SOCIAIS"),_xlfn.LET(_xlpm.linha_insumo,MATCH($B149,'ISE'!$B:$B,0),_xlpm.coluna_uf,MATCH($B$8,'ISE'!$F$10:$AF$10,0),_xlpm.preco_uf,INDEX('ISE'!$F:$AF,_xlpm.linha_insumo,_xlpm.coluna_uf),IF(ISERROR(_xlpm.linha_insumo),"",IF(_xlpm.preco_uf&lt;&gt;0,0%,100%))),
IF(AND($A149="COMPOSICAO",$A$8="SEM DESONERAÇÃO"),_xlfn.XLOOKUP($B149,'CSD'!B:B,OFFSET('CSD'!$D:$D,0,1+MATCH($B$8,'CSD'!$E$4:$BF$4,0)),0),
IF(AND($A149="COMPOSICAO",$A$8="COM DESONERAÇÃO"),_xlfn.XLOOKUP($B149,'CCD'!B:B,OFFSET('CCD'!$D:$D,0,1+MATCH($B$8,'CCD'!$E$4:$BF$4,0)),0),
IF(AND($A149="COMPOSICAO",$A$8="SEM ENCARGOS SOCIAIS"),_xlfn.XLOOKUP($B149,'CSE'!B:B,OFFSET('CSE'!$D:$D,0,1+MATCH($B$8,'CSE'!$E$9:$BF$9,0)),0),""
)))))))</f>
        <v>0</v>
      </c>
    </row>
    <row r="150" spans="6:8">
      <c r="F150" s="19" cm="1">
        <f t="array" ref="F150">IF($A150="","",
IF(AND($A150="INSUMO",$A$8="SEM DESONERAÇÃO"),_xlfn.LET(_xlpm.linha_insumo,MATCH($B150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_xlpm.preco_regional_as,INDEX($M:$M,MATCH($B150&amp;"_"&amp;$B$8,$K:$K,0)),
IF(ISERROR(_xlpm.linha_insumo),0,IF(_xlpm.preco_uf&lt;&gt;0,_xlpm.preco_uf,IF(ISNUMBER(_xlpm.preco_regional_as),_xlpm.preco_regional_as,_xlpm.preco_sp)))),
IF(AND($A150="INSUMO",$A$8="COM DESONERAÇÃO"),_xlfn.LET(_xlpm.linha_insumo,MATCH($B150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_xlpm.preco_regional_as,INDEX($N:$N,MATCH($B150&amp;"_"&amp;$B$8,$K:$K,0)),
IF(ISERROR(_xlpm.linha_insumo),0,IF(_xlpm.preco_uf&lt;&gt;0,_xlpm.preco_uf,IF(ISNUMBER(_xlpm.preco_regional_as),_xlpm.preco_regional_as,_xlpm.preco_sp)))),
IF(AND($A150="INSUMO",$A$8="SEM ENCARGOS SOCIAIS"),_xlfn.LET(_xlpm.linha_insumo,MATCH($B150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_xlpm.preco_regional_as,INDEX($L:$L,MATCH($B150&amp;"_"&amp;$B$8,$K:$K,0)),
IF(ISERROR(_xlpm.linha_insumo),0,IF(_xlpm.preco_uf&lt;&gt;0,_xlpm.preco_uf,IF(ISNUMBER(_xlpm.preco_regional_as),_xlpm.preco_regional_as,_xlpm.preco_sp)))),
IF(AND($A150="COMPOSICAO",$A$8="SEM DESONERAÇÃO"),_xlfn.XLOOKUP($B150,'CSD'!B:B,OFFSET('CSD'!$D:$D,0,MATCH($B$8,'CSD'!$E$4:$BF$4,0)),0),
IF(AND($A150="COMPOSICAO",$A$8="COM DESONERAÇÃO"),_xlfn.XLOOKUP($B150,'CCD'!B:B,OFFSET('CCD'!$D:$D,0,MATCH($B$8,'CCD'!$E$4:$BF$4,0)),0),
IF(AND($A150="COMPOSICAO",$A$8="SEM ENCARGOS SOCIAIS"),_xlfn.XLOOKUP($B150,'CSE'!B:B,OFFSET('CSE'!$D:$D,0,MATCH($B$8,'CSE'!$E$9:$BF$9,0)),0),""
)))))))</f>
        <v>0</v>
      </c>
      <c r="G150" s="19">
        <f>IF($A150="","",TRUNC(E150*F150,2))</f>
        <v>0</v>
      </c>
      <c r="H150" s="20" cm="1">
        <f t="array" ref="H150">IF($A150="","",
IF(AND($A150="INSUMO",$A$8="SEM DESONERAÇÃO"),_xlfn.LET(_xlpm.linha_insumo,MATCH($B150,'ISD'!$B:$B,0),_xlpm.coluna_uf,MATCH($B$8,'ISD'!$F$4:$AF$4,0),_xlpm.preco_uf,INDEX('ISD'!$F:$AF,_xlpm.linha_insumo,_xlpm.coluna_uf),IF(ISERROR(_xlpm.linha_insumo),"",IF(_xlpm.preco_uf&lt;&gt;0,0%,100%))),
IF(AND($A150="INSUMO",$A$8="COM DESONERAÇÃO"),_xlfn.LET(_xlpm.linha_insumo,MATCH($B150,'ICD'!$B:$B,0),_xlpm.coluna_uf,MATCH($B$8,'ICD'!$F$4:$AF$4,0),_xlpm.preco_uf,INDEX('ICD'!$F:$AF,_xlpm.linha_insumo,_xlpm.coluna_uf),IF(ISERROR(_xlpm.linha_insumo),"",IF(_xlpm.preco_uf&lt;&gt;0,0%,100%))),
IF(AND($A150="INSUMO",$A$8="SEM ENCARGOS SOCIAIS"),_xlfn.LET(_xlpm.linha_insumo,MATCH($B150,'ISE'!$B:$B,0),_xlpm.coluna_uf,MATCH($B$8,'ISE'!$F$10:$AF$10,0),_xlpm.preco_uf,INDEX('ISE'!$F:$AF,_xlpm.linha_insumo,_xlpm.coluna_uf),IF(ISERROR(_xlpm.linha_insumo),"",IF(_xlpm.preco_uf&lt;&gt;0,0%,100%))),
IF(AND($A150="COMPOSICAO",$A$8="SEM DESONERAÇÃO"),_xlfn.XLOOKUP($B150,'CSD'!B:B,OFFSET('CSD'!$D:$D,0,1+MATCH($B$8,'CSD'!$E$4:$BF$4,0)),0),
IF(AND($A150="COMPOSICAO",$A$8="COM DESONERAÇÃO"),_xlfn.XLOOKUP($B150,'CCD'!B:B,OFFSET('CCD'!$D:$D,0,1+MATCH($B$8,'CCD'!$E$4:$BF$4,0)),0),
IF(AND($A150="COMPOSICAO",$A$8="SEM ENCARGOS SOCIAIS"),_xlfn.XLOOKUP($B150,'CSE'!B:B,OFFSET('CSE'!$D:$D,0,1+MATCH($B$8,'CSE'!$E$9:$BF$9,0)),0),""
)))))))</f>
        <v>0</v>
      </c>
    </row>
    <row r="151" spans="6:8">
      <c r="F151" s="19" cm="1">
        <f t="array" ref="F151">IF($A151="","",
IF(AND($A151="INSUMO",$A$8="SEM DESONERAÇÃO"),_xlfn.LET(_xlpm.linha_insumo,MATCH($B151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_xlpm.preco_regional_as,INDEX($M:$M,MATCH($B151&amp;"_"&amp;$B$8,$K:$K,0)),
IF(ISERROR(_xlpm.linha_insumo),0,IF(_xlpm.preco_uf&lt;&gt;0,_xlpm.preco_uf,IF(ISNUMBER(_xlpm.preco_regional_as),_xlpm.preco_regional_as,_xlpm.preco_sp)))),
IF(AND($A151="INSUMO",$A$8="COM DESONERAÇÃO"),_xlfn.LET(_xlpm.linha_insumo,MATCH($B151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_xlpm.preco_regional_as,INDEX($N:$N,MATCH($B151&amp;"_"&amp;$B$8,$K:$K,0)),
IF(ISERROR(_xlpm.linha_insumo),0,IF(_xlpm.preco_uf&lt;&gt;0,_xlpm.preco_uf,IF(ISNUMBER(_xlpm.preco_regional_as),_xlpm.preco_regional_as,_xlpm.preco_sp)))),
IF(AND($A151="INSUMO",$A$8="SEM ENCARGOS SOCIAIS"),_xlfn.LET(_xlpm.linha_insumo,MATCH($B151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_xlpm.preco_regional_as,INDEX($L:$L,MATCH($B151&amp;"_"&amp;$B$8,$K:$K,0)),
IF(ISERROR(_xlpm.linha_insumo),0,IF(_xlpm.preco_uf&lt;&gt;0,_xlpm.preco_uf,IF(ISNUMBER(_xlpm.preco_regional_as),_xlpm.preco_regional_as,_xlpm.preco_sp)))),
IF(AND($A151="COMPOSICAO",$A$8="SEM DESONERAÇÃO"),_xlfn.XLOOKUP($B151,'CSD'!B:B,OFFSET('CSD'!$D:$D,0,MATCH($B$8,'CSD'!$E$4:$BF$4,0)),0),
IF(AND($A151="COMPOSICAO",$A$8="COM DESONERAÇÃO"),_xlfn.XLOOKUP($B151,'CCD'!B:B,OFFSET('CCD'!$D:$D,0,MATCH($B$8,'CCD'!$E$4:$BF$4,0)),0),
IF(AND($A151="COMPOSICAO",$A$8="SEM ENCARGOS SOCIAIS"),_xlfn.XLOOKUP($B151,'CSE'!B:B,OFFSET('CSE'!$D:$D,0,MATCH($B$8,'CSE'!$E$9:$BF$9,0)),0),""
)))))))</f>
        <v>0</v>
      </c>
      <c r="G151" s="19">
        <f>IF($A151="","",TRUNC(E151*F151,2))</f>
        <v>0</v>
      </c>
      <c r="H151" s="20" cm="1">
        <f t="array" ref="H151">IF($A151="","",
IF(AND($A151="INSUMO",$A$8="SEM DESONERAÇÃO"),_xlfn.LET(_xlpm.linha_insumo,MATCH($B151,'ISD'!$B:$B,0),_xlpm.coluna_uf,MATCH($B$8,'ISD'!$F$4:$AF$4,0),_xlpm.preco_uf,INDEX('ISD'!$F:$AF,_xlpm.linha_insumo,_xlpm.coluna_uf),IF(ISERROR(_xlpm.linha_insumo),"",IF(_xlpm.preco_uf&lt;&gt;0,0%,100%))),
IF(AND($A151="INSUMO",$A$8="COM DESONERAÇÃO"),_xlfn.LET(_xlpm.linha_insumo,MATCH($B151,'ICD'!$B:$B,0),_xlpm.coluna_uf,MATCH($B$8,'ICD'!$F$4:$AF$4,0),_xlpm.preco_uf,INDEX('ICD'!$F:$AF,_xlpm.linha_insumo,_xlpm.coluna_uf),IF(ISERROR(_xlpm.linha_insumo),"",IF(_xlpm.preco_uf&lt;&gt;0,0%,100%))),
IF(AND($A151="INSUMO",$A$8="SEM ENCARGOS SOCIAIS"),_xlfn.LET(_xlpm.linha_insumo,MATCH($B151,'ISE'!$B:$B,0),_xlpm.coluna_uf,MATCH($B$8,'ISE'!$F$10:$AF$10,0),_xlpm.preco_uf,INDEX('ISE'!$F:$AF,_xlpm.linha_insumo,_xlpm.coluna_uf),IF(ISERROR(_xlpm.linha_insumo),"",IF(_xlpm.preco_uf&lt;&gt;0,0%,100%))),
IF(AND($A151="COMPOSICAO",$A$8="SEM DESONERAÇÃO"),_xlfn.XLOOKUP($B151,'CSD'!B:B,OFFSET('CSD'!$D:$D,0,1+MATCH($B$8,'CSD'!$E$4:$BF$4,0)),0),
IF(AND($A151="COMPOSICAO",$A$8="COM DESONERAÇÃO"),_xlfn.XLOOKUP($B151,'CCD'!B:B,OFFSET('CCD'!$D:$D,0,1+MATCH($B$8,'CCD'!$E$4:$BF$4,0)),0),
IF(AND($A151="COMPOSICAO",$A$8="SEM ENCARGOS SOCIAIS"),_xlfn.XLOOKUP($B151,'CSE'!B:B,OFFSET('CSE'!$D:$D,0,1+MATCH($B$8,'CSE'!$E$9:$BF$9,0)),0),""
)))))))</f>
        <v>0</v>
      </c>
    </row>
    <row r="152" spans="6:8">
      <c r="F152" s="19" cm="1">
        <f t="array" ref="F152">IF($A152="","",
IF(AND($A152="INSUMO",$A$8="SEM DESONERAÇÃO"),_xlfn.LET(_xlpm.linha_insumo,MATCH($B152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_xlpm.preco_regional_as,INDEX($M:$M,MATCH($B152&amp;"_"&amp;$B$8,$K:$K,0)),
IF(ISERROR(_xlpm.linha_insumo),0,IF(_xlpm.preco_uf&lt;&gt;0,_xlpm.preco_uf,IF(ISNUMBER(_xlpm.preco_regional_as),_xlpm.preco_regional_as,_xlpm.preco_sp)))),
IF(AND($A152="INSUMO",$A$8="COM DESONERAÇÃO"),_xlfn.LET(_xlpm.linha_insumo,MATCH($B152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_xlpm.preco_regional_as,INDEX($N:$N,MATCH($B152&amp;"_"&amp;$B$8,$K:$K,0)),
IF(ISERROR(_xlpm.linha_insumo),0,IF(_xlpm.preco_uf&lt;&gt;0,_xlpm.preco_uf,IF(ISNUMBER(_xlpm.preco_regional_as),_xlpm.preco_regional_as,_xlpm.preco_sp)))),
IF(AND($A152="INSUMO",$A$8="SEM ENCARGOS SOCIAIS"),_xlfn.LET(_xlpm.linha_insumo,MATCH($B152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_xlpm.preco_regional_as,INDEX($L:$L,MATCH($B152&amp;"_"&amp;$B$8,$K:$K,0)),
IF(ISERROR(_xlpm.linha_insumo),0,IF(_xlpm.preco_uf&lt;&gt;0,_xlpm.preco_uf,IF(ISNUMBER(_xlpm.preco_regional_as),_xlpm.preco_regional_as,_xlpm.preco_sp)))),
IF(AND($A152="COMPOSICAO",$A$8="SEM DESONERAÇÃO"),_xlfn.XLOOKUP($B152,'CSD'!B:B,OFFSET('CSD'!$D:$D,0,MATCH($B$8,'CSD'!$E$4:$BF$4,0)),0),
IF(AND($A152="COMPOSICAO",$A$8="COM DESONERAÇÃO"),_xlfn.XLOOKUP($B152,'CCD'!B:B,OFFSET('CCD'!$D:$D,0,MATCH($B$8,'CCD'!$E$4:$BF$4,0)),0),
IF(AND($A152="COMPOSICAO",$A$8="SEM ENCARGOS SOCIAIS"),_xlfn.XLOOKUP($B152,'CSE'!B:B,OFFSET('CSE'!$D:$D,0,MATCH($B$8,'CSE'!$E$9:$BF$9,0)),0),""
)))))))</f>
        <v>0</v>
      </c>
      <c r="G152" s="19">
        <f>IF($A152="","",TRUNC(E152*F152,2))</f>
        <v>0</v>
      </c>
      <c r="H152" s="20" cm="1">
        <f t="array" ref="H152">IF($A152="","",
IF(AND($A152="INSUMO",$A$8="SEM DESONERAÇÃO"),_xlfn.LET(_xlpm.linha_insumo,MATCH($B152,'ISD'!$B:$B,0),_xlpm.coluna_uf,MATCH($B$8,'ISD'!$F$4:$AF$4,0),_xlpm.preco_uf,INDEX('ISD'!$F:$AF,_xlpm.linha_insumo,_xlpm.coluna_uf),IF(ISERROR(_xlpm.linha_insumo),"",IF(_xlpm.preco_uf&lt;&gt;0,0%,100%))),
IF(AND($A152="INSUMO",$A$8="COM DESONERAÇÃO"),_xlfn.LET(_xlpm.linha_insumo,MATCH($B152,'ICD'!$B:$B,0),_xlpm.coluna_uf,MATCH($B$8,'ICD'!$F$4:$AF$4,0),_xlpm.preco_uf,INDEX('ICD'!$F:$AF,_xlpm.linha_insumo,_xlpm.coluna_uf),IF(ISERROR(_xlpm.linha_insumo),"",IF(_xlpm.preco_uf&lt;&gt;0,0%,100%))),
IF(AND($A152="INSUMO",$A$8="SEM ENCARGOS SOCIAIS"),_xlfn.LET(_xlpm.linha_insumo,MATCH($B152,'ISE'!$B:$B,0),_xlpm.coluna_uf,MATCH($B$8,'ISE'!$F$10:$AF$10,0),_xlpm.preco_uf,INDEX('ISE'!$F:$AF,_xlpm.linha_insumo,_xlpm.coluna_uf),IF(ISERROR(_xlpm.linha_insumo),"",IF(_xlpm.preco_uf&lt;&gt;0,0%,100%))),
IF(AND($A152="COMPOSICAO",$A$8="SEM DESONERAÇÃO"),_xlfn.XLOOKUP($B152,'CSD'!B:B,OFFSET('CSD'!$D:$D,0,1+MATCH($B$8,'CSD'!$E$4:$BF$4,0)),0),
IF(AND($A152="COMPOSICAO",$A$8="COM DESONERAÇÃO"),_xlfn.XLOOKUP($B152,'CCD'!B:B,OFFSET('CCD'!$D:$D,0,1+MATCH($B$8,'CCD'!$E$4:$BF$4,0)),0),
IF(AND($A152="COMPOSICAO",$A$8="SEM ENCARGOS SOCIAIS"),_xlfn.XLOOKUP($B152,'CSE'!B:B,OFFSET('CSE'!$D:$D,0,1+MATCH($B$8,'CSE'!$E$9:$BF$9,0)),0),""
)))))))</f>
        <v>0</v>
      </c>
    </row>
    <row r="153" spans="6:8">
      <c r="F153" s="19" cm="1">
        <f t="array" ref="F153">IF($A153="","",
IF(AND($A153="INSUMO",$A$8="SEM DESONERAÇÃO"),_xlfn.LET(_xlpm.linha_insumo,MATCH($B153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_xlpm.preco_regional_as,INDEX($M:$M,MATCH($B153&amp;"_"&amp;$B$8,$K:$K,0)),
IF(ISERROR(_xlpm.linha_insumo),0,IF(_xlpm.preco_uf&lt;&gt;0,_xlpm.preco_uf,IF(ISNUMBER(_xlpm.preco_regional_as),_xlpm.preco_regional_as,_xlpm.preco_sp)))),
IF(AND($A153="INSUMO",$A$8="COM DESONERAÇÃO"),_xlfn.LET(_xlpm.linha_insumo,MATCH($B153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_xlpm.preco_regional_as,INDEX($N:$N,MATCH($B153&amp;"_"&amp;$B$8,$K:$K,0)),
IF(ISERROR(_xlpm.linha_insumo),0,IF(_xlpm.preco_uf&lt;&gt;0,_xlpm.preco_uf,IF(ISNUMBER(_xlpm.preco_regional_as),_xlpm.preco_regional_as,_xlpm.preco_sp)))),
IF(AND($A153="INSUMO",$A$8="SEM ENCARGOS SOCIAIS"),_xlfn.LET(_xlpm.linha_insumo,MATCH($B153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_xlpm.preco_regional_as,INDEX($L:$L,MATCH($B153&amp;"_"&amp;$B$8,$K:$K,0)),
IF(ISERROR(_xlpm.linha_insumo),0,IF(_xlpm.preco_uf&lt;&gt;0,_xlpm.preco_uf,IF(ISNUMBER(_xlpm.preco_regional_as),_xlpm.preco_regional_as,_xlpm.preco_sp)))),
IF(AND($A153="COMPOSICAO",$A$8="SEM DESONERAÇÃO"),_xlfn.XLOOKUP($B153,'CSD'!B:B,OFFSET('CSD'!$D:$D,0,MATCH($B$8,'CSD'!$E$4:$BF$4,0)),0),
IF(AND($A153="COMPOSICAO",$A$8="COM DESONERAÇÃO"),_xlfn.XLOOKUP($B153,'CCD'!B:B,OFFSET('CCD'!$D:$D,0,MATCH($B$8,'CCD'!$E$4:$BF$4,0)),0),
IF(AND($A153="COMPOSICAO",$A$8="SEM ENCARGOS SOCIAIS"),_xlfn.XLOOKUP($B153,'CSE'!B:B,OFFSET('CSE'!$D:$D,0,MATCH($B$8,'CSE'!$E$9:$BF$9,0)),0),""
)))))))</f>
        <v>0</v>
      </c>
      <c r="G153" s="19">
        <f>IF($A153="","",TRUNC(E153*F153,2))</f>
        <v>0</v>
      </c>
      <c r="H153" s="20" cm="1">
        <f t="array" ref="H153">IF($A153="","",
IF(AND($A153="INSUMO",$A$8="SEM DESONERAÇÃO"),_xlfn.LET(_xlpm.linha_insumo,MATCH($B153,'ISD'!$B:$B,0),_xlpm.coluna_uf,MATCH($B$8,'ISD'!$F$4:$AF$4,0),_xlpm.preco_uf,INDEX('ISD'!$F:$AF,_xlpm.linha_insumo,_xlpm.coluna_uf),IF(ISERROR(_xlpm.linha_insumo),"",IF(_xlpm.preco_uf&lt;&gt;0,0%,100%))),
IF(AND($A153="INSUMO",$A$8="COM DESONERAÇÃO"),_xlfn.LET(_xlpm.linha_insumo,MATCH($B153,'ICD'!$B:$B,0),_xlpm.coluna_uf,MATCH($B$8,'ICD'!$F$4:$AF$4,0),_xlpm.preco_uf,INDEX('ICD'!$F:$AF,_xlpm.linha_insumo,_xlpm.coluna_uf),IF(ISERROR(_xlpm.linha_insumo),"",IF(_xlpm.preco_uf&lt;&gt;0,0%,100%))),
IF(AND($A153="INSUMO",$A$8="SEM ENCARGOS SOCIAIS"),_xlfn.LET(_xlpm.linha_insumo,MATCH($B153,'ISE'!$B:$B,0),_xlpm.coluna_uf,MATCH($B$8,'ISE'!$F$10:$AF$10,0),_xlpm.preco_uf,INDEX('ISE'!$F:$AF,_xlpm.linha_insumo,_xlpm.coluna_uf),IF(ISERROR(_xlpm.linha_insumo),"",IF(_xlpm.preco_uf&lt;&gt;0,0%,100%))),
IF(AND($A153="COMPOSICAO",$A$8="SEM DESONERAÇÃO"),_xlfn.XLOOKUP($B153,'CSD'!B:B,OFFSET('CSD'!$D:$D,0,1+MATCH($B$8,'CSD'!$E$4:$BF$4,0)),0),
IF(AND($A153="COMPOSICAO",$A$8="COM DESONERAÇÃO"),_xlfn.XLOOKUP($B153,'CCD'!B:B,OFFSET('CCD'!$D:$D,0,1+MATCH($B$8,'CCD'!$E$4:$BF$4,0)),0),
IF(AND($A153="COMPOSICAO",$A$8="SEM ENCARGOS SOCIAIS"),_xlfn.XLOOKUP($B153,'CSE'!B:B,OFFSET('CSE'!$D:$D,0,1+MATCH($B$8,'CSE'!$E$9:$BF$9,0)),0),""
)))))))</f>
        <v>0</v>
      </c>
    </row>
    <row r="154" spans="6:8">
      <c r="F154" s="19" cm="1">
        <f t="array" ref="F154">IF($A154="","",
IF(AND($A154="INSUMO",$A$8="SEM DESONERAÇÃO"),_xlfn.LET(_xlpm.linha_insumo,MATCH($B154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_xlpm.preco_regional_as,INDEX($M:$M,MATCH($B154&amp;"_"&amp;$B$8,$K:$K,0)),
IF(ISERROR(_xlpm.linha_insumo),0,IF(_xlpm.preco_uf&lt;&gt;0,_xlpm.preco_uf,IF(ISNUMBER(_xlpm.preco_regional_as),_xlpm.preco_regional_as,_xlpm.preco_sp)))),
IF(AND($A154="INSUMO",$A$8="COM DESONERAÇÃO"),_xlfn.LET(_xlpm.linha_insumo,MATCH($B154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_xlpm.preco_regional_as,INDEX($N:$N,MATCH($B154&amp;"_"&amp;$B$8,$K:$K,0)),
IF(ISERROR(_xlpm.linha_insumo),0,IF(_xlpm.preco_uf&lt;&gt;0,_xlpm.preco_uf,IF(ISNUMBER(_xlpm.preco_regional_as),_xlpm.preco_regional_as,_xlpm.preco_sp)))),
IF(AND($A154="INSUMO",$A$8="SEM ENCARGOS SOCIAIS"),_xlfn.LET(_xlpm.linha_insumo,MATCH($B154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_xlpm.preco_regional_as,INDEX($L:$L,MATCH($B154&amp;"_"&amp;$B$8,$K:$K,0)),
IF(ISERROR(_xlpm.linha_insumo),0,IF(_xlpm.preco_uf&lt;&gt;0,_xlpm.preco_uf,IF(ISNUMBER(_xlpm.preco_regional_as),_xlpm.preco_regional_as,_xlpm.preco_sp)))),
IF(AND($A154="COMPOSICAO",$A$8="SEM DESONERAÇÃO"),_xlfn.XLOOKUP($B154,'CSD'!B:B,OFFSET('CSD'!$D:$D,0,MATCH($B$8,'CSD'!$E$4:$BF$4,0)),0),
IF(AND($A154="COMPOSICAO",$A$8="COM DESONERAÇÃO"),_xlfn.XLOOKUP($B154,'CCD'!B:B,OFFSET('CCD'!$D:$D,0,MATCH($B$8,'CCD'!$E$4:$BF$4,0)),0),
IF(AND($A154="COMPOSICAO",$A$8="SEM ENCARGOS SOCIAIS"),_xlfn.XLOOKUP($B154,'CSE'!B:B,OFFSET('CSE'!$D:$D,0,MATCH($B$8,'CSE'!$E$9:$BF$9,0)),0),""
)))))))</f>
        <v>0</v>
      </c>
      <c r="G154" s="19">
        <f>IF($A154="","",TRUNC(E154*F154,2))</f>
        <v>0</v>
      </c>
      <c r="H154" s="20" cm="1">
        <f t="array" ref="H154">IF($A154="","",
IF(AND($A154="INSUMO",$A$8="SEM DESONERAÇÃO"),_xlfn.LET(_xlpm.linha_insumo,MATCH($B154,'ISD'!$B:$B,0),_xlpm.coluna_uf,MATCH($B$8,'ISD'!$F$4:$AF$4,0),_xlpm.preco_uf,INDEX('ISD'!$F:$AF,_xlpm.linha_insumo,_xlpm.coluna_uf),IF(ISERROR(_xlpm.linha_insumo),"",IF(_xlpm.preco_uf&lt;&gt;0,0%,100%))),
IF(AND($A154="INSUMO",$A$8="COM DESONERAÇÃO"),_xlfn.LET(_xlpm.linha_insumo,MATCH($B154,'ICD'!$B:$B,0),_xlpm.coluna_uf,MATCH($B$8,'ICD'!$F$4:$AF$4,0),_xlpm.preco_uf,INDEX('ICD'!$F:$AF,_xlpm.linha_insumo,_xlpm.coluna_uf),IF(ISERROR(_xlpm.linha_insumo),"",IF(_xlpm.preco_uf&lt;&gt;0,0%,100%))),
IF(AND($A154="INSUMO",$A$8="SEM ENCARGOS SOCIAIS"),_xlfn.LET(_xlpm.linha_insumo,MATCH($B154,'ISE'!$B:$B,0),_xlpm.coluna_uf,MATCH($B$8,'ISE'!$F$10:$AF$10,0),_xlpm.preco_uf,INDEX('ISE'!$F:$AF,_xlpm.linha_insumo,_xlpm.coluna_uf),IF(ISERROR(_xlpm.linha_insumo),"",IF(_xlpm.preco_uf&lt;&gt;0,0%,100%))),
IF(AND($A154="COMPOSICAO",$A$8="SEM DESONERAÇÃO"),_xlfn.XLOOKUP($B154,'CSD'!B:B,OFFSET('CSD'!$D:$D,0,1+MATCH($B$8,'CSD'!$E$4:$BF$4,0)),0),
IF(AND($A154="COMPOSICAO",$A$8="COM DESONERAÇÃO"),_xlfn.XLOOKUP($B154,'CCD'!B:B,OFFSET('CCD'!$D:$D,0,1+MATCH($B$8,'CCD'!$E$4:$BF$4,0)),0),
IF(AND($A154="COMPOSICAO",$A$8="SEM ENCARGOS SOCIAIS"),_xlfn.XLOOKUP($B154,'CSE'!B:B,OFFSET('CSE'!$D:$D,0,1+MATCH($B$8,'CSE'!$E$9:$BF$9,0)),0),""
)))))))</f>
        <v>0</v>
      </c>
    </row>
    <row r="155" spans="6:8">
      <c r="F155" s="19" cm="1">
        <f t="array" ref="F155">IF($A155="","",
IF(AND($A155="INSUMO",$A$8="SEM DESONERAÇÃO"),_xlfn.LET(_xlpm.linha_insumo,MATCH($B155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_xlpm.preco_regional_as,INDEX($M:$M,MATCH($B155&amp;"_"&amp;$B$8,$K:$K,0)),
IF(ISERROR(_xlpm.linha_insumo),0,IF(_xlpm.preco_uf&lt;&gt;0,_xlpm.preco_uf,IF(ISNUMBER(_xlpm.preco_regional_as),_xlpm.preco_regional_as,_xlpm.preco_sp)))),
IF(AND($A155="INSUMO",$A$8="COM DESONERAÇÃO"),_xlfn.LET(_xlpm.linha_insumo,MATCH($B155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_xlpm.preco_regional_as,INDEX($N:$N,MATCH($B155&amp;"_"&amp;$B$8,$K:$K,0)),
IF(ISERROR(_xlpm.linha_insumo),0,IF(_xlpm.preco_uf&lt;&gt;0,_xlpm.preco_uf,IF(ISNUMBER(_xlpm.preco_regional_as),_xlpm.preco_regional_as,_xlpm.preco_sp)))),
IF(AND($A155="INSUMO",$A$8="SEM ENCARGOS SOCIAIS"),_xlfn.LET(_xlpm.linha_insumo,MATCH($B155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_xlpm.preco_regional_as,INDEX($L:$L,MATCH($B155&amp;"_"&amp;$B$8,$K:$K,0)),
IF(ISERROR(_xlpm.linha_insumo),0,IF(_xlpm.preco_uf&lt;&gt;0,_xlpm.preco_uf,IF(ISNUMBER(_xlpm.preco_regional_as),_xlpm.preco_regional_as,_xlpm.preco_sp)))),
IF(AND($A155="COMPOSICAO",$A$8="SEM DESONERAÇÃO"),_xlfn.XLOOKUP($B155,'CSD'!B:B,OFFSET('CSD'!$D:$D,0,MATCH($B$8,'CSD'!$E$4:$BF$4,0)),0),
IF(AND($A155="COMPOSICAO",$A$8="COM DESONERAÇÃO"),_xlfn.XLOOKUP($B155,'CCD'!B:B,OFFSET('CCD'!$D:$D,0,MATCH($B$8,'CCD'!$E$4:$BF$4,0)),0),
IF(AND($A155="COMPOSICAO",$A$8="SEM ENCARGOS SOCIAIS"),_xlfn.XLOOKUP($B155,'CSE'!B:B,OFFSET('CSE'!$D:$D,0,MATCH($B$8,'CSE'!$E$9:$BF$9,0)),0),""
)))))))</f>
        <v>0</v>
      </c>
      <c r="G155" s="19">
        <f>IF($A155="","",TRUNC(E155*F155,2))</f>
        <v>0</v>
      </c>
      <c r="H155" s="20" cm="1">
        <f t="array" ref="H155">IF($A155="","",
IF(AND($A155="INSUMO",$A$8="SEM DESONERAÇÃO"),_xlfn.LET(_xlpm.linha_insumo,MATCH($B155,'ISD'!$B:$B,0),_xlpm.coluna_uf,MATCH($B$8,'ISD'!$F$4:$AF$4,0),_xlpm.preco_uf,INDEX('ISD'!$F:$AF,_xlpm.linha_insumo,_xlpm.coluna_uf),IF(ISERROR(_xlpm.linha_insumo),"",IF(_xlpm.preco_uf&lt;&gt;0,0%,100%))),
IF(AND($A155="INSUMO",$A$8="COM DESONERAÇÃO"),_xlfn.LET(_xlpm.linha_insumo,MATCH($B155,'ICD'!$B:$B,0),_xlpm.coluna_uf,MATCH($B$8,'ICD'!$F$4:$AF$4,0),_xlpm.preco_uf,INDEX('ICD'!$F:$AF,_xlpm.linha_insumo,_xlpm.coluna_uf),IF(ISERROR(_xlpm.linha_insumo),"",IF(_xlpm.preco_uf&lt;&gt;0,0%,100%))),
IF(AND($A155="INSUMO",$A$8="SEM ENCARGOS SOCIAIS"),_xlfn.LET(_xlpm.linha_insumo,MATCH($B155,'ISE'!$B:$B,0),_xlpm.coluna_uf,MATCH($B$8,'ISE'!$F$10:$AF$10,0),_xlpm.preco_uf,INDEX('ISE'!$F:$AF,_xlpm.linha_insumo,_xlpm.coluna_uf),IF(ISERROR(_xlpm.linha_insumo),"",IF(_xlpm.preco_uf&lt;&gt;0,0%,100%))),
IF(AND($A155="COMPOSICAO",$A$8="SEM DESONERAÇÃO"),_xlfn.XLOOKUP($B155,'CSD'!B:B,OFFSET('CSD'!$D:$D,0,1+MATCH($B$8,'CSD'!$E$4:$BF$4,0)),0),
IF(AND($A155="COMPOSICAO",$A$8="COM DESONERAÇÃO"),_xlfn.XLOOKUP($B155,'CCD'!B:B,OFFSET('CCD'!$D:$D,0,1+MATCH($B$8,'CCD'!$E$4:$BF$4,0)),0),
IF(AND($A155="COMPOSICAO",$A$8="SEM ENCARGOS SOCIAIS"),_xlfn.XLOOKUP($B155,'CSE'!B:B,OFFSET('CSE'!$D:$D,0,1+MATCH($B$8,'CSE'!$E$9:$BF$9,0)),0),""
)))))))</f>
        <v>0</v>
      </c>
    </row>
    <row r="156" spans="6:8">
      <c r="F156" s="19" cm="1">
        <f t="array" ref="F156">IF($A156="","",
IF(AND($A156="INSUMO",$A$8="SEM DESONERAÇÃO"),_xlfn.LET(_xlpm.linha_insumo,MATCH($B156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_xlpm.preco_regional_as,INDEX($M:$M,MATCH($B156&amp;"_"&amp;$B$8,$K:$K,0)),
IF(ISERROR(_xlpm.linha_insumo),0,IF(_xlpm.preco_uf&lt;&gt;0,_xlpm.preco_uf,IF(ISNUMBER(_xlpm.preco_regional_as),_xlpm.preco_regional_as,_xlpm.preco_sp)))),
IF(AND($A156="INSUMO",$A$8="COM DESONERAÇÃO"),_xlfn.LET(_xlpm.linha_insumo,MATCH($B156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_xlpm.preco_regional_as,INDEX($N:$N,MATCH($B156&amp;"_"&amp;$B$8,$K:$K,0)),
IF(ISERROR(_xlpm.linha_insumo),0,IF(_xlpm.preco_uf&lt;&gt;0,_xlpm.preco_uf,IF(ISNUMBER(_xlpm.preco_regional_as),_xlpm.preco_regional_as,_xlpm.preco_sp)))),
IF(AND($A156="INSUMO",$A$8="SEM ENCARGOS SOCIAIS"),_xlfn.LET(_xlpm.linha_insumo,MATCH($B156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_xlpm.preco_regional_as,INDEX($L:$L,MATCH($B156&amp;"_"&amp;$B$8,$K:$K,0)),
IF(ISERROR(_xlpm.linha_insumo),0,IF(_xlpm.preco_uf&lt;&gt;0,_xlpm.preco_uf,IF(ISNUMBER(_xlpm.preco_regional_as),_xlpm.preco_regional_as,_xlpm.preco_sp)))),
IF(AND($A156="COMPOSICAO",$A$8="SEM DESONERAÇÃO"),_xlfn.XLOOKUP($B156,'CSD'!B:B,OFFSET('CSD'!$D:$D,0,MATCH($B$8,'CSD'!$E$4:$BF$4,0)),0),
IF(AND($A156="COMPOSICAO",$A$8="COM DESONERAÇÃO"),_xlfn.XLOOKUP($B156,'CCD'!B:B,OFFSET('CCD'!$D:$D,0,MATCH($B$8,'CCD'!$E$4:$BF$4,0)),0),
IF(AND($A156="COMPOSICAO",$A$8="SEM ENCARGOS SOCIAIS"),_xlfn.XLOOKUP($B156,'CSE'!B:B,OFFSET('CSE'!$D:$D,0,MATCH($B$8,'CSE'!$E$9:$BF$9,0)),0),""
)))))))</f>
        <v>0</v>
      </c>
      <c r="G156" s="19">
        <f>IF($A156="","",TRUNC(E156*F156,2))</f>
        <v>0</v>
      </c>
      <c r="H156" s="20" cm="1">
        <f t="array" ref="H156">IF($A156="","",
IF(AND($A156="INSUMO",$A$8="SEM DESONERAÇÃO"),_xlfn.LET(_xlpm.linha_insumo,MATCH($B156,'ISD'!$B:$B,0),_xlpm.coluna_uf,MATCH($B$8,'ISD'!$F$4:$AF$4,0),_xlpm.preco_uf,INDEX('ISD'!$F:$AF,_xlpm.linha_insumo,_xlpm.coluna_uf),IF(ISERROR(_xlpm.linha_insumo),"",IF(_xlpm.preco_uf&lt;&gt;0,0%,100%))),
IF(AND($A156="INSUMO",$A$8="COM DESONERAÇÃO"),_xlfn.LET(_xlpm.linha_insumo,MATCH($B156,'ICD'!$B:$B,0),_xlpm.coluna_uf,MATCH($B$8,'ICD'!$F$4:$AF$4,0),_xlpm.preco_uf,INDEX('ICD'!$F:$AF,_xlpm.linha_insumo,_xlpm.coluna_uf),IF(ISERROR(_xlpm.linha_insumo),"",IF(_xlpm.preco_uf&lt;&gt;0,0%,100%))),
IF(AND($A156="INSUMO",$A$8="SEM ENCARGOS SOCIAIS"),_xlfn.LET(_xlpm.linha_insumo,MATCH($B156,'ISE'!$B:$B,0),_xlpm.coluna_uf,MATCH($B$8,'ISE'!$F$10:$AF$10,0),_xlpm.preco_uf,INDEX('ISE'!$F:$AF,_xlpm.linha_insumo,_xlpm.coluna_uf),IF(ISERROR(_xlpm.linha_insumo),"",IF(_xlpm.preco_uf&lt;&gt;0,0%,100%))),
IF(AND($A156="COMPOSICAO",$A$8="SEM DESONERAÇÃO"),_xlfn.XLOOKUP($B156,'CSD'!B:B,OFFSET('CSD'!$D:$D,0,1+MATCH($B$8,'CSD'!$E$4:$BF$4,0)),0),
IF(AND($A156="COMPOSICAO",$A$8="COM DESONERAÇÃO"),_xlfn.XLOOKUP($B156,'CCD'!B:B,OFFSET('CCD'!$D:$D,0,1+MATCH($B$8,'CCD'!$E$4:$BF$4,0)),0),
IF(AND($A156="COMPOSICAO",$A$8="SEM ENCARGOS SOCIAIS"),_xlfn.XLOOKUP($B156,'CSE'!B:B,OFFSET('CSE'!$D:$D,0,1+MATCH($B$8,'CSE'!$E$9:$BF$9,0)),0),""
)))))))</f>
        <v>0</v>
      </c>
    </row>
    <row r="157" spans="6:8">
      <c r="F157" s="19" cm="1">
        <f t="array" ref="F157">IF($A157="","",
IF(AND($A157="INSUMO",$A$8="SEM DESONERAÇÃO"),_xlfn.LET(_xlpm.linha_insumo,MATCH($B157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_xlpm.preco_regional_as,INDEX($M:$M,MATCH($B157&amp;"_"&amp;$B$8,$K:$K,0)),
IF(ISERROR(_xlpm.linha_insumo),0,IF(_xlpm.preco_uf&lt;&gt;0,_xlpm.preco_uf,IF(ISNUMBER(_xlpm.preco_regional_as),_xlpm.preco_regional_as,_xlpm.preco_sp)))),
IF(AND($A157="INSUMO",$A$8="COM DESONERAÇÃO"),_xlfn.LET(_xlpm.linha_insumo,MATCH($B157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_xlpm.preco_regional_as,INDEX($N:$N,MATCH($B157&amp;"_"&amp;$B$8,$K:$K,0)),
IF(ISERROR(_xlpm.linha_insumo),0,IF(_xlpm.preco_uf&lt;&gt;0,_xlpm.preco_uf,IF(ISNUMBER(_xlpm.preco_regional_as),_xlpm.preco_regional_as,_xlpm.preco_sp)))),
IF(AND($A157="INSUMO",$A$8="SEM ENCARGOS SOCIAIS"),_xlfn.LET(_xlpm.linha_insumo,MATCH($B157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_xlpm.preco_regional_as,INDEX($L:$L,MATCH($B157&amp;"_"&amp;$B$8,$K:$K,0)),
IF(ISERROR(_xlpm.linha_insumo),0,IF(_xlpm.preco_uf&lt;&gt;0,_xlpm.preco_uf,IF(ISNUMBER(_xlpm.preco_regional_as),_xlpm.preco_regional_as,_xlpm.preco_sp)))),
IF(AND($A157="COMPOSICAO",$A$8="SEM DESONERAÇÃO"),_xlfn.XLOOKUP($B157,'CSD'!B:B,OFFSET('CSD'!$D:$D,0,MATCH($B$8,'CSD'!$E$4:$BF$4,0)),0),
IF(AND($A157="COMPOSICAO",$A$8="COM DESONERAÇÃO"),_xlfn.XLOOKUP($B157,'CCD'!B:B,OFFSET('CCD'!$D:$D,0,MATCH($B$8,'CCD'!$E$4:$BF$4,0)),0),
IF(AND($A157="COMPOSICAO",$A$8="SEM ENCARGOS SOCIAIS"),_xlfn.XLOOKUP($B157,'CSE'!B:B,OFFSET('CSE'!$D:$D,0,MATCH($B$8,'CSE'!$E$9:$BF$9,0)),0),""
)))))))</f>
        <v>0</v>
      </c>
      <c r="G157" s="19">
        <f>IF($A157="","",TRUNC(E157*F157,2))</f>
        <v>0</v>
      </c>
      <c r="H157" s="20" cm="1">
        <f t="array" ref="H157">IF($A157="","",
IF(AND($A157="INSUMO",$A$8="SEM DESONERAÇÃO"),_xlfn.LET(_xlpm.linha_insumo,MATCH($B157,'ISD'!$B:$B,0),_xlpm.coluna_uf,MATCH($B$8,'ISD'!$F$4:$AF$4,0),_xlpm.preco_uf,INDEX('ISD'!$F:$AF,_xlpm.linha_insumo,_xlpm.coluna_uf),IF(ISERROR(_xlpm.linha_insumo),"",IF(_xlpm.preco_uf&lt;&gt;0,0%,100%))),
IF(AND($A157="INSUMO",$A$8="COM DESONERAÇÃO"),_xlfn.LET(_xlpm.linha_insumo,MATCH($B157,'ICD'!$B:$B,0),_xlpm.coluna_uf,MATCH($B$8,'ICD'!$F$4:$AF$4,0),_xlpm.preco_uf,INDEX('ICD'!$F:$AF,_xlpm.linha_insumo,_xlpm.coluna_uf),IF(ISERROR(_xlpm.linha_insumo),"",IF(_xlpm.preco_uf&lt;&gt;0,0%,100%))),
IF(AND($A157="INSUMO",$A$8="SEM ENCARGOS SOCIAIS"),_xlfn.LET(_xlpm.linha_insumo,MATCH($B157,'ISE'!$B:$B,0),_xlpm.coluna_uf,MATCH($B$8,'ISE'!$F$10:$AF$10,0),_xlpm.preco_uf,INDEX('ISE'!$F:$AF,_xlpm.linha_insumo,_xlpm.coluna_uf),IF(ISERROR(_xlpm.linha_insumo),"",IF(_xlpm.preco_uf&lt;&gt;0,0%,100%))),
IF(AND($A157="COMPOSICAO",$A$8="SEM DESONERAÇÃO"),_xlfn.XLOOKUP($B157,'CSD'!B:B,OFFSET('CSD'!$D:$D,0,1+MATCH($B$8,'CSD'!$E$4:$BF$4,0)),0),
IF(AND($A157="COMPOSICAO",$A$8="COM DESONERAÇÃO"),_xlfn.XLOOKUP($B157,'CCD'!B:B,OFFSET('CCD'!$D:$D,0,1+MATCH($B$8,'CCD'!$E$4:$BF$4,0)),0),
IF(AND($A157="COMPOSICAO",$A$8="SEM ENCARGOS SOCIAIS"),_xlfn.XLOOKUP($B157,'CSE'!B:B,OFFSET('CSE'!$D:$D,0,1+MATCH($B$8,'CSE'!$E$9:$BF$9,0)),0),""
)))))))</f>
        <v>0</v>
      </c>
    </row>
    <row r="158" spans="6:8">
      <c r="F158" s="19" cm="1">
        <f t="array" ref="F158">IF($A158="","",
IF(AND($A158="INSUMO",$A$8="SEM DESONERAÇÃO"),_xlfn.LET(_xlpm.linha_insumo,MATCH($B158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_xlpm.preco_regional_as,INDEX($M:$M,MATCH($B158&amp;"_"&amp;$B$8,$K:$K,0)),
IF(ISERROR(_xlpm.linha_insumo),0,IF(_xlpm.preco_uf&lt;&gt;0,_xlpm.preco_uf,IF(ISNUMBER(_xlpm.preco_regional_as),_xlpm.preco_regional_as,_xlpm.preco_sp)))),
IF(AND($A158="INSUMO",$A$8="COM DESONERAÇÃO"),_xlfn.LET(_xlpm.linha_insumo,MATCH($B158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_xlpm.preco_regional_as,INDEX($N:$N,MATCH($B158&amp;"_"&amp;$B$8,$K:$K,0)),
IF(ISERROR(_xlpm.linha_insumo),0,IF(_xlpm.preco_uf&lt;&gt;0,_xlpm.preco_uf,IF(ISNUMBER(_xlpm.preco_regional_as),_xlpm.preco_regional_as,_xlpm.preco_sp)))),
IF(AND($A158="INSUMO",$A$8="SEM ENCARGOS SOCIAIS"),_xlfn.LET(_xlpm.linha_insumo,MATCH($B158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_xlpm.preco_regional_as,INDEX($L:$L,MATCH($B158&amp;"_"&amp;$B$8,$K:$K,0)),
IF(ISERROR(_xlpm.linha_insumo),0,IF(_xlpm.preco_uf&lt;&gt;0,_xlpm.preco_uf,IF(ISNUMBER(_xlpm.preco_regional_as),_xlpm.preco_regional_as,_xlpm.preco_sp)))),
IF(AND($A158="COMPOSICAO",$A$8="SEM DESONERAÇÃO"),_xlfn.XLOOKUP($B158,'CSD'!B:B,OFFSET('CSD'!$D:$D,0,MATCH($B$8,'CSD'!$E$4:$BF$4,0)),0),
IF(AND($A158="COMPOSICAO",$A$8="COM DESONERAÇÃO"),_xlfn.XLOOKUP($B158,'CCD'!B:B,OFFSET('CCD'!$D:$D,0,MATCH($B$8,'CCD'!$E$4:$BF$4,0)),0),
IF(AND($A158="COMPOSICAO",$A$8="SEM ENCARGOS SOCIAIS"),_xlfn.XLOOKUP($B158,'CSE'!B:B,OFFSET('CSE'!$D:$D,0,MATCH($B$8,'CSE'!$E$9:$BF$9,0)),0),""
)))))))</f>
        <v>0</v>
      </c>
      <c r="G158" s="19">
        <f>IF($A158="","",TRUNC(E158*F158,2))</f>
        <v>0</v>
      </c>
      <c r="H158" s="20" cm="1">
        <f t="array" ref="H158">IF($A158="","",
IF(AND($A158="INSUMO",$A$8="SEM DESONERAÇÃO"),_xlfn.LET(_xlpm.linha_insumo,MATCH($B158,'ISD'!$B:$B,0),_xlpm.coluna_uf,MATCH($B$8,'ISD'!$F$4:$AF$4,0),_xlpm.preco_uf,INDEX('ISD'!$F:$AF,_xlpm.linha_insumo,_xlpm.coluna_uf),IF(ISERROR(_xlpm.linha_insumo),"",IF(_xlpm.preco_uf&lt;&gt;0,0%,100%))),
IF(AND($A158="INSUMO",$A$8="COM DESONERAÇÃO"),_xlfn.LET(_xlpm.linha_insumo,MATCH($B158,'ICD'!$B:$B,0),_xlpm.coluna_uf,MATCH($B$8,'ICD'!$F$4:$AF$4,0),_xlpm.preco_uf,INDEX('ICD'!$F:$AF,_xlpm.linha_insumo,_xlpm.coluna_uf),IF(ISERROR(_xlpm.linha_insumo),"",IF(_xlpm.preco_uf&lt;&gt;0,0%,100%))),
IF(AND($A158="INSUMO",$A$8="SEM ENCARGOS SOCIAIS"),_xlfn.LET(_xlpm.linha_insumo,MATCH($B158,'ISE'!$B:$B,0),_xlpm.coluna_uf,MATCH($B$8,'ISE'!$F$10:$AF$10,0),_xlpm.preco_uf,INDEX('ISE'!$F:$AF,_xlpm.linha_insumo,_xlpm.coluna_uf),IF(ISERROR(_xlpm.linha_insumo),"",IF(_xlpm.preco_uf&lt;&gt;0,0%,100%))),
IF(AND($A158="COMPOSICAO",$A$8="SEM DESONERAÇÃO"),_xlfn.XLOOKUP($B158,'CSD'!B:B,OFFSET('CSD'!$D:$D,0,1+MATCH($B$8,'CSD'!$E$4:$BF$4,0)),0),
IF(AND($A158="COMPOSICAO",$A$8="COM DESONERAÇÃO"),_xlfn.XLOOKUP($B158,'CCD'!B:B,OFFSET('CCD'!$D:$D,0,1+MATCH($B$8,'CCD'!$E$4:$BF$4,0)),0),
IF(AND($A158="COMPOSICAO",$A$8="SEM ENCARGOS SOCIAIS"),_xlfn.XLOOKUP($B158,'CSE'!B:B,OFFSET('CSE'!$D:$D,0,1+MATCH($B$8,'CSE'!$E$9:$BF$9,0)),0),""
)))))))</f>
        <v>0</v>
      </c>
    </row>
    <row r="159" spans="6:8">
      <c r="F159" s="19" cm="1">
        <f t="array" ref="F159">IF($A159="","",
IF(AND($A159="INSUMO",$A$8="SEM DESONERAÇÃO"),_xlfn.LET(_xlpm.linha_insumo,MATCH($B159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_xlpm.preco_regional_as,INDEX($M:$M,MATCH($B159&amp;"_"&amp;$B$8,$K:$K,0)),
IF(ISERROR(_xlpm.linha_insumo),0,IF(_xlpm.preco_uf&lt;&gt;0,_xlpm.preco_uf,IF(ISNUMBER(_xlpm.preco_regional_as),_xlpm.preco_regional_as,_xlpm.preco_sp)))),
IF(AND($A159="INSUMO",$A$8="COM DESONERAÇÃO"),_xlfn.LET(_xlpm.linha_insumo,MATCH($B159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_xlpm.preco_regional_as,INDEX($N:$N,MATCH($B159&amp;"_"&amp;$B$8,$K:$K,0)),
IF(ISERROR(_xlpm.linha_insumo),0,IF(_xlpm.preco_uf&lt;&gt;0,_xlpm.preco_uf,IF(ISNUMBER(_xlpm.preco_regional_as),_xlpm.preco_regional_as,_xlpm.preco_sp)))),
IF(AND($A159="INSUMO",$A$8="SEM ENCARGOS SOCIAIS"),_xlfn.LET(_xlpm.linha_insumo,MATCH($B159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_xlpm.preco_regional_as,INDEX($L:$L,MATCH($B159&amp;"_"&amp;$B$8,$K:$K,0)),
IF(ISERROR(_xlpm.linha_insumo),0,IF(_xlpm.preco_uf&lt;&gt;0,_xlpm.preco_uf,IF(ISNUMBER(_xlpm.preco_regional_as),_xlpm.preco_regional_as,_xlpm.preco_sp)))),
IF(AND($A159="COMPOSICAO",$A$8="SEM DESONERAÇÃO"),_xlfn.XLOOKUP($B159,'CSD'!B:B,OFFSET('CSD'!$D:$D,0,MATCH($B$8,'CSD'!$E$4:$BF$4,0)),0),
IF(AND($A159="COMPOSICAO",$A$8="COM DESONERAÇÃO"),_xlfn.XLOOKUP($B159,'CCD'!B:B,OFFSET('CCD'!$D:$D,0,MATCH($B$8,'CCD'!$E$4:$BF$4,0)),0),
IF(AND($A159="COMPOSICAO",$A$8="SEM ENCARGOS SOCIAIS"),_xlfn.XLOOKUP($B159,'CSE'!B:B,OFFSET('CSE'!$D:$D,0,MATCH($B$8,'CSE'!$E$9:$BF$9,0)),0),""
)))))))</f>
        <v>0</v>
      </c>
      <c r="G159" s="19">
        <f>IF($A159="","",TRUNC(E159*F159,2))</f>
        <v>0</v>
      </c>
      <c r="H159" s="20" cm="1">
        <f t="array" ref="H159">IF($A159="","",
IF(AND($A159="INSUMO",$A$8="SEM DESONERAÇÃO"),_xlfn.LET(_xlpm.linha_insumo,MATCH($B159,'ISD'!$B:$B,0),_xlpm.coluna_uf,MATCH($B$8,'ISD'!$F$4:$AF$4,0),_xlpm.preco_uf,INDEX('ISD'!$F:$AF,_xlpm.linha_insumo,_xlpm.coluna_uf),IF(ISERROR(_xlpm.linha_insumo),"",IF(_xlpm.preco_uf&lt;&gt;0,0%,100%))),
IF(AND($A159="INSUMO",$A$8="COM DESONERAÇÃO"),_xlfn.LET(_xlpm.linha_insumo,MATCH($B159,'ICD'!$B:$B,0),_xlpm.coluna_uf,MATCH($B$8,'ICD'!$F$4:$AF$4,0),_xlpm.preco_uf,INDEX('ICD'!$F:$AF,_xlpm.linha_insumo,_xlpm.coluna_uf),IF(ISERROR(_xlpm.linha_insumo),"",IF(_xlpm.preco_uf&lt;&gt;0,0%,100%))),
IF(AND($A159="INSUMO",$A$8="SEM ENCARGOS SOCIAIS"),_xlfn.LET(_xlpm.linha_insumo,MATCH($B159,'ISE'!$B:$B,0),_xlpm.coluna_uf,MATCH($B$8,'ISE'!$F$10:$AF$10,0),_xlpm.preco_uf,INDEX('ISE'!$F:$AF,_xlpm.linha_insumo,_xlpm.coluna_uf),IF(ISERROR(_xlpm.linha_insumo),"",IF(_xlpm.preco_uf&lt;&gt;0,0%,100%))),
IF(AND($A159="COMPOSICAO",$A$8="SEM DESONERAÇÃO"),_xlfn.XLOOKUP($B159,'CSD'!B:B,OFFSET('CSD'!$D:$D,0,1+MATCH($B$8,'CSD'!$E$4:$BF$4,0)),0),
IF(AND($A159="COMPOSICAO",$A$8="COM DESONERAÇÃO"),_xlfn.XLOOKUP($B159,'CCD'!B:B,OFFSET('CCD'!$D:$D,0,1+MATCH($B$8,'CCD'!$E$4:$BF$4,0)),0),
IF(AND($A159="COMPOSICAO",$A$8="SEM ENCARGOS SOCIAIS"),_xlfn.XLOOKUP($B159,'CSE'!B:B,OFFSET('CSE'!$D:$D,0,1+MATCH($B$8,'CSE'!$E$9:$BF$9,0)),0),""
)))))))</f>
        <v>0</v>
      </c>
    </row>
    <row r="160" spans="6:8">
      <c r="F160" s="19" cm="1">
        <f t="array" ref="F160">IF($A160="","",
IF(AND($A160="INSUMO",$A$8="SEM DESONERAÇÃO"),_xlfn.LET(_xlpm.linha_insumo,MATCH($B160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_xlpm.preco_regional_as,INDEX($M:$M,MATCH($B160&amp;"_"&amp;$B$8,$K:$K,0)),
IF(ISERROR(_xlpm.linha_insumo),0,IF(_xlpm.preco_uf&lt;&gt;0,_xlpm.preco_uf,IF(ISNUMBER(_xlpm.preco_regional_as),_xlpm.preco_regional_as,_xlpm.preco_sp)))),
IF(AND($A160="INSUMO",$A$8="COM DESONERAÇÃO"),_xlfn.LET(_xlpm.linha_insumo,MATCH($B160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_xlpm.preco_regional_as,INDEX($N:$N,MATCH($B160&amp;"_"&amp;$B$8,$K:$K,0)),
IF(ISERROR(_xlpm.linha_insumo),0,IF(_xlpm.preco_uf&lt;&gt;0,_xlpm.preco_uf,IF(ISNUMBER(_xlpm.preco_regional_as),_xlpm.preco_regional_as,_xlpm.preco_sp)))),
IF(AND($A160="INSUMO",$A$8="SEM ENCARGOS SOCIAIS"),_xlfn.LET(_xlpm.linha_insumo,MATCH($B160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_xlpm.preco_regional_as,INDEX($L:$L,MATCH($B160&amp;"_"&amp;$B$8,$K:$K,0)),
IF(ISERROR(_xlpm.linha_insumo),0,IF(_xlpm.preco_uf&lt;&gt;0,_xlpm.preco_uf,IF(ISNUMBER(_xlpm.preco_regional_as),_xlpm.preco_regional_as,_xlpm.preco_sp)))),
IF(AND($A160="COMPOSICAO",$A$8="SEM DESONERAÇÃO"),_xlfn.XLOOKUP($B160,'CSD'!B:B,OFFSET('CSD'!$D:$D,0,MATCH($B$8,'CSD'!$E$4:$BF$4,0)),0),
IF(AND($A160="COMPOSICAO",$A$8="COM DESONERAÇÃO"),_xlfn.XLOOKUP($B160,'CCD'!B:B,OFFSET('CCD'!$D:$D,0,MATCH($B$8,'CCD'!$E$4:$BF$4,0)),0),
IF(AND($A160="COMPOSICAO",$A$8="SEM ENCARGOS SOCIAIS"),_xlfn.XLOOKUP($B160,'CSE'!B:B,OFFSET('CSE'!$D:$D,0,MATCH($B$8,'CSE'!$E$9:$BF$9,0)),0),""
)))))))</f>
        <v>0</v>
      </c>
      <c r="G160" s="19">
        <f>IF($A160="","",TRUNC(E160*F160,2))</f>
        <v>0</v>
      </c>
      <c r="H160" s="20" cm="1">
        <f t="array" ref="H160">IF($A160="","",
IF(AND($A160="INSUMO",$A$8="SEM DESONERAÇÃO"),_xlfn.LET(_xlpm.linha_insumo,MATCH($B160,'ISD'!$B:$B,0),_xlpm.coluna_uf,MATCH($B$8,'ISD'!$F$4:$AF$4,0),_xlpm.preco_uf,INDEX('ISD'!$F:$AF,_xlpm.linha_insumo,_xlpm.coluna_uf),IF(ISERROR(_xlpm.linha_insumo),"",IF(_xlpm.preco_uf&lt;&gt;0,0%,100%))),
IF(AND($A160="INSUMO",$A$8="COM DESONERAÇÃO"),_xlfn.LET(_xlpm.linha_insumo,MATCH($B160,'ICD'!$B:$B,0),_xlpm.coluna_uf,MATCH($B$8,'ICD'!$F$4:$AF$4,0),_xlpm.preco_uf,INDEX('ICD'!$F:$AF,_xlpm.linha_insumo,_xlpm.coluna_uf),IF(ISERROR(_xlpm.linha_insumo),"",IF(_xlpm.preco_uf&lt;&gt;0,0%,100%))),
IF(AND($A160="INSUMO",$A$8="SEM ENCARGOS SOCIAIS"),_xlfn.LET(_xlpm.linha_insumo,MATCH($B160,'ISE'!$B:$B,0),_xlpm.coluna_uf,MATCH($B$8,'ISE'!$F$10:$AF$10,0),_xlpm.preco_uf,INDEX('ISE'!$F:$AF,_xlpm.linha_insumo,_xlpm.coluna_uf),IF(ISERROR(_xlpm.linha_insumo),"",IF(_xlpm.preco_uf&lt;&gt;0,0%,100%))),
IF(AND($A160="COMPOSICAO",$A$8="SEM DESONERAÇÃO"),_xlfn.XLOOKUP($B160,'CSD'!B:B,OFFSET('CSD'!$D:$D,0,1+MATCH($B$8,'CSD'!$E$4:$BF$4,0)),0),
IF(AND($A160="COMPOSICAO",$A$8="COM DESONERAÇÃO"),_xlfn.XLOOKUP($B160,'CCD'!B:B,OFFSET('CCD'!$D:$D,0,1+MATCH($B$8,'CCD'!$E$4:$BF$4,0)),0),
IF(AND($A160="COMPOSICAO",$A$8="SEM ENCARGOS SOCIAIS"),_xlfn.XLOOKUP($B160,'CSE'!B:B,OFFSET('CSE'!$D:$D,0,1+MATCH($B$8,'CSE'!$E$9:$BF$9,0)),0),""
)))))))</f>
        <v>0</v>
      </c>
    </row>
    <row r="161" spans="6:8">
      <c r="F161" s="19" cm="1">
        <f t="array" ref="F161">IF($A161="","",
IF(AND($A161="INSUMO",$A$8="SEM DESONERAÇÃO"),_xlfn.LET(_xlpm.linha_insumo,MATCH($B161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_xlpm.preco_regional_as,INDEX($M:$M,MATCH($B161&amp;"_"&amp;$B$8,$K:$K,0)),
IF(ISERROR(_xlpm.linha_insumo),0,IF(_xlpm.preco_uf&lt;&gt;0,_xlpm.preco_uf,IF(ISNUMBER(_xlpm.preco_regional_as),_xlpm.preco_regional_as,_xlpm.preco_sp)))),
IF(AND($A161="INSUMO",$A$8="COM DESONERAÇÃO"),_xlfn.LET(_xlpm.linha_insumo,MATCH($B161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_xlpm.preco_regional_as,INDEX($N:$N,MATCH($B161&amp;"_"&amp;$B$8,$K:$K,0)),
IF(ISERROR(_xlpm.linha_insumo),0,IF(_xlpm.preco_uf&lt;&gt;0,_xlpm.preco_uf,IF(ISNUMBER(_xlpm.preco_regional_as),_xlpm.preco_regional_as,_xlpm.preco_sp)))),
IF(AND($A161="INSUMO",$A$8="SEM ENCARGOS SOCIAIS"),_xlfn.LET(_xlpm.linha_insumo,MATCH($B161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_xlpm.preco_regional_as,INDEX($L:$L,MATCH($B161&amp;"_"&amp;$B$8,$K:$K,0)),
IF(ISERROR(_xlpm.linha_insumo),0,IF(_xlpm.preco_uf&lt;&gt;0,_xlpm.preco_uf,IF(ISNUMBER(_xlpm.preco_regional_as),_xlpm.preco_regional_as,_xlpm.preco_sp)))),
IF(AND($A161="COMPOSICAO",$A$8="SEM DESONERAÇÃO"),_xlfn.XLOOKUP($B161,'CSD'!B:B,OFFSET('CSD'!$D:$D,0,MATCH($B$8,'CSD'!$E$4:$BF$4,0)),0),
IF(AND($A161="COMPOSICAO",$A$8="COM DESONERAÇÃO"),_xlfn.XLOOKUP($B161,'CCD'!B:B,OFFSET('CCD'!$D:$D,0,MATCH($B$8,'CCD'!$E$4:$BF$4,0)),0),
IF(AND($A161="COMPOSICAO",$A$8="SEM ENCARGOS SOCIAIS"),_xlfn.XLOOKUP($B161,'CSE'!B:B,OFFSET('CSE'!$D:$D,0,MATCH($B$8,'CSE'!$E$9:$BF$9,0)),0),""
)))))))</f>
        <v>0</v>
      </c>
      <c r="G161" s="19">
        <f>IF($A161="","",TRUNC(E161*F161,2))</f>
        <v>0</v>
      </c>
      <c r="H161" s="20" cm="1">
        <f t="array" ref="H161">IF($A161="","",
IF(AND($A161="INSUMO",$A$8="SEM DESONERAÇÃO"),_xlfn.LET(_xlpm.linha_insumo,MATCH($B161,'ISD'!$B:$B,0),_xlpm.coluna_uf,MATCH($B$8,'ISD'!$F$4:$AF$4,0),_xlpm.preco_uf,INDEX('ISD'!$F:$AF,_xlpm.linha_insumo,_xlpm.coluna_uf),IF(ISERROR(_xlpm.linha_insumo),"",IF(_xlpm.preco_uf&lt;&gt;0,0%,100%))),
IF(AND($A161="INSUMO",$A$8="COM DESONERAÇÃO"),_xlfn.LET(_xlpm.linha_insumo,MATCH($B161,'ICD'!$B:$B,0),_xlpm.coluna_uf,MATCH($B$8,'ICD'!$F$4:$AF$4,0),_xlpm.preco_uf,INDEX('ICD'!$F:$AF,_xlpm.linha_insumo,_xlpm.coluna_uf),IF(ISERROR(_xlpm.linha_insumo),"",IF(_xlpm.preco_uf&lt;&gt;0,0%,100%))),
IF(AND($A161="INSUMO",$A$8="SEM ENCARGOS SOCIAIS"),_xlfn.LET(_xlpm.linha_insumo,MATCH($B161,'ISE'!$B:$B,0),_xlpm.coluna_uf,MATCH($B$8,'ISE'!$F$10:$AF$10,0),_xlpm.preco_uf,INDEX('ISE'!$F:$AF,_xlpm.linha_insumo,_xlpm.coluna_uf),IF(ISERROR(_xlpm.linha_insumo),"",IF(_xlpm.preco_uf&lt;&gt;0,0%,100%))),
IF(AND($A161="COMPOSICAO",$A$8="SEM DESONERAÇÃO"),_xlfn.XLOOKUP($B161,'CSD'!B:B,OFFSET('CSD'!$D:$D,0,1+MATCH($B$8,'CSD'!$E$4:$BF$4,0)),0),
IF(AND($A161="COMPOSICAO",$A$8="COM DESONERAÇÃO"),_xlfn.XLOOKUP($B161,'CCD'!B:B,OFFSET('CCD'!$D:$D,0,1+MATCH($B$8,'CCD'!$E$4:$BF$4,0)),0),
IF(AND($A161="COMPOSICAO",$A$8="SEM ENCARGOS SOCIAIS"),_xlfn.XLOOKUP($B161,'CSE'!B:B,OFFSET('CSE'!$D:$D,0,1+MATCH($B$8,'CSE'!$E$9:$BF$9,0)),0),""
)))))))</f>
        <v>0</v>
      </c>
    </row>
    <row r="162" spans="6:8">
      <c r="F162" s="19" cm="1">
        <f t="array" ref="F162">IF($A162="","",
IF(AND($A162="INSUMO",$A$8="SEM DESONERAÇÃO"),_xlfn.LET(_xlpm.linha_insumo,MATCH($B162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_xlpm.preco_regional_as,INDEX($M:$M,MATCH($B162&amp;"_"&amp;$B$8,$K:$K,0)),
IF(ISERROR(_xlpm.linha_insumo),0,IF(_xlpm.preco_uf&lt;&gt;0,_xlpm.preco_uf,IF(ISNUMBER(_xlpm.preco_regional_as),_xlpm.preco_regional_as,_xlpm.preco_sp)))),
IF(AND($A162="INSUMO",$A$8="COM DESONERAÇÃO"),_xlfn.LET(_xlpm.linha_insumo,MATCH($B162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_xlpm.preco_regional_as,INDEX($N:$N,MATCH($B162&amp;"_"&amp;$B$8,$K:$K,0)),
IF(ISERROR(_xlpm.linha_insumo),0,IF(_xlpm.preco_uf&lt;&gt;0,_xlpm.preco_uf,IF(ISNUMBER(_xlpm.preco_regional_as),_xlpm.preco_regional_as,_xlpm.preco_sp)))),
IF(AND($A162="INSUMO",$A$8="SEM ENCARGOS SOCIAIS"),_xlfn.LET(_xlpm.linha_insumo,MATCH($B162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_xlpm.preco_regional_as,INDEX($L:$L,MATCH($B162&amp;"_"&amp;$B$8,$K:$K,0)),
IF(ISERROR(_xlpm.linha_insumo),0,IF(_xlpm.preco_uf&lt;&gt;0,_xlpm.preco_uf,IF(ISNUMBER(_xlpm.preco_regional_as),_xlpm.preco_regional_as,_xlpm.preco_sp)))),
IF(AND($A162="COMPOSICAO",$A$8="SEM DESONERAÇÃO"),_xlfn.XLOOKUP($B162,'CSD'!B:B,OFFSET('CSD'!$D:$D,0,MATCH($B$8,'CSD'!$E$4:$BF$4,0)),0),
IF(AND($A162="COMPOSICAO",$A$8="COM DESONERAÇÃO"),_xlfn.XLOOKUP($B162,'CCD'!B:B,OFFSET('CCD'!$D:$D,0,MATCH($B$8,'CCD'!$E$4:$BF$4,0)),0),
IF(AND($A162="COMPOSICAO",$A$8="SEM ENCARGOS SOCIAIS"),_xlfn.XLOOKUP($B162,'CSE'!B:B,OFFSET('CSE'!$D:$D,0,MATCH($B$8,'CSE'!$E$9:$BF$9,0)),0),""
)))))))</f>
        <v>0</v>
      </c>
      <c r="G162" s="19">
        <f>IF($A162="","",TRUNC(E162*F162,2))</f>
        <v>0</v>
      </c>
      <c r="H162" s="20" cm="1">
        <f t="array" ref="H162">IF($A162="","",
IF(AND($A162="INSUMO",$A$8="SEM DESONERAÇÃO"),_xlfn.LET(_xlpm.linha_insumo,MATCH($B162,'ISD'!$B:$B,0),_xlpm.coluna_uf,MATCH($B$8,'ISD'!$F$4:$AF$4,0),_xlpm.preco_uf,INDEX('ISD'!$F:$AF,_xlpm.linha_insumo,_xlpm.coluna_uf),IF(ISERROR(_xlpm.linha_insumo),"",IF(_xlpm.preco_uf&lt;&gt;0,0%,100%))),
IF(AND($A162="INSUMO",$A$8="COM DESONERAÇÃO"),_xlfn.LET(_xlpm.linha_insumo,MATCH($B162,'ICD'!$B:$B,0),_xlpm.coluna_uf,MATCH($B$8,'ICD'!$F$4:$AF$4,0),_xlpm.preco_uf,INDEX('ICD'!$F:$AF,_xlpm.linha_insumo,_xlpm.coluna_uf),IF(ISERROR(_xlpm.linha_insumo),"",IF(_xlpm.preco_uf&lt;&gt;0,0%,100%))),
IF(AND($A162="INSUMO",$A$8="SEM ENCARGOS SOCIAIS"),_xlfn.LET(_xlpm.linha_insumo,MATCH($B162,'ISE'!$B:$B,0),_xlpm.coluna_uf,MATCH($B$8,'ISE'!$F$10:$AF$10,0),_xlpm.preco_uf,INDEX('ISE'!$F:$AF,_xlpm.linha_insumo,_xlpm.coluna_uf),IF(ISERROR(_xlpm.linha_insumo),"",IF(_xlpm.preco_uf&lt;&gt;0,0%,100%))),
IF(AND($A162="COMPOSICAO",$A$8="SEM DESONERAÇÃO"),_xlfn.XLOOKUP($B162,'CSD'!B:B,OFFSET('CSD'!$D:$D,0,1+MATCH($B$8,'CSD'!$E$4:$BF$4,0)),0),
IF(AND($A162="COMPOSICAO",$A$8="COM DESONERAÇÃO"),_xlfn.XLOOKUP($B162,'CCD'!B:B,OFFSET('CCD'!$D:$D,0,1+MATCH($B$8,'CCD'!$E$4:$BF$4,0)),0),
IF(AND($A162="COMPOSICAO",$A$8="SEM ENCARGOS SOCIAIS"),_xlfn.XLOOKUP($B162,'CSE'!B:B,OFFSET('CSE'!$D:$D,0,1+MATCH($B$8,'CSE'!$E$9:$BF$9,0)),0),""
)))))))</f>
        <v>0</v>
      </c>
    </row>
    <row r="163" spans="6:8">
      <c r="F163" s="19" cm="1">
        <f t="array" ref="F163">IF($A163="","",
IF(AND($A163="INSUMO",$A$8="SEM DESONERAÇÃO"),_xlfn.LET(_xlpm.linha_insumo,MATCH($B163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_xlpm.preco_regional_as,INDEX($M:$M,MATCH($B163&amp;"_"&amp;$B$8,$K:$K,0)),
IF(ISERROR(_xlpm.linha_insumo),0,IF(_xlpm.preco_uf&lt;&gt;0,_xlpm.preco_uf,IF(ISNUMBER(_xlpm.preco_regional_as),_xlpm.preco_regional_as,_xlpm.preco_sp)))),
IF(AND($A163="INSUMO",$A$8="COM DESONERAÇÃO"),_xlfn.LET(_xlpm.linha_insumo,MATCH($B163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_xlpm.preco_regional_as,INDEX($N:$N,MATCH($B163&amp;"_"&amp;$B$8,$K:$K,0)),
IF(ISERROR(_xlpm.linha_insumo),0,IF(_xlpm.preco_uf&lt;&gt;0,_xlpm.preco_uf,IF(ISNUMBER(_xlpm.preco_regional_as),_xlpm.preco_regional_as,_xlpm.preco_sp)))),
IF(AND($A163="INSUMO",$A$8="SEM ENCARGOS SOCIAIS"),_xlfn.LET(_xlpm.linha_insumo,MATCH($B163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_xlpm.preco_regional_as,INDEX($L:$L,MATCH($B163&amp;"_"&amp;$B$8,$K:$K,0)),
IF(ISERROR(_xlpm.linha_insumo),0,IF(_xlpm.preco_uf&lt;&gt;0,_xlpm.preco_uf,IF(ISNUMBER(_xlpm.preco_regional_as),_xlpm.preco_regional_as,_xlpm.preco_sp)))),
IF(AND($A163="COMPOSICAO",$A$8="SEM DESONERAÇÃO"),_xlfn.XLOOKUP($B163,'CSD'!B:B,OFFSET('CSD'!$D:$D,0,MATCH($B$8,'CSD'!$E$4:$BF$4,0)),0),
IF(AND($A163="COMPOSICAO",$A$8="COM DESONERAÇÃO"),_xlfn.XLOOKUP($B163,'CCD'!B:B,OFFSET('CCD'!$D:$D,0,MATCH($B$8,'CCD'!$E$4:$BF$4,0)),0),
IF(AND($A163="COMPOSICAO",$A$8="SEM ENCARGOS SOCIAIS"),_xlfn.XLOOKUP($B163,'CSE'!B:B,OFFSET('CSE'!$D:$D,0,MATCH($B$8,'CSE'!$E$9:$BF$9,0)),0),""
)))))))</f>
        <v>0</v>
      </c>
      <c r="G163" s="19">
        <f>IF($A163="","",TRUNC(E163*F163,2))</f>
        <v>0</v>
      </c>
      <c r="H163" s="20" cm="1">
        <f t="array" ref="H163">IF($A163="","",
IF(AND($A163="INSUMO",$A$8="SEM DESONERAÇÃO"),_xlfn.LET(_xlpm.linha_insumo,MATCH($B163,'ISD'!$B:$B,0),_xlpm.coluna_uf,MATCH($B$8,'ISD'!$F$4:$AF$4,0),_xlpm.preco_uf,INDEX('ISD'!$F:$AF,_xlpm.linha_insumo,_xlpm.coluna_uf),IF(ISERROR(_xlpm.linha_insumo),"",IF(_xlpm.preco_uf&lt;&gt;0,0%,100%))),
IF(AND($A163="INSUMO",$A$8="COM DESONERAÇÃO"),_xlfn.LET(_xlpm.linha_insumo,MATCH($B163,'ICD'!$B:$B,0),_xlpm.coluna_uf,MATCH($B$8,'ICD'!$F$4:$AF$4,0),_xlpm.preco_uf,INDEX('ICD'!$F:$AF,_xlpm.linha_insumo,_xlpm.coluna_uf),IF(ISERROR(_xlpm.linha_insumo),"",IF(_xlpm.preco_uf&lt;&gt;0,0%,100%))),
IF(AND($A163="INSUMO",$A$8="SEM ENCARGOS SOCIAIS"),_xlfn.LET(_xlpm.linha_insumo,MATCH($B163,'ISE'!$B:$B,0),_xlpm.coluna_uf,MATCH($B$8,'ISE'!$F$10:$AF$10,0),_xlpm.preco_uf,INDEX('ISE'!$F:$AF,_xlpm.linha_insumo,_xlpm.coluna_uf),IF(ISERROR(_xlpm.linha_insumo),"",IF(_xlpm.preco_uf&lt;&gt;0,0%,100%))),
IF(AND($A163="COMPOSICAO",$A$8="SEM DESONERAÇÃO"),_xlfn.XLOOKUP($B163,'CSD'!B:B,OFFSET('CSD'!$D:$D,0,1+MATCH($B$8,'CSD'!$E$4:$BF$4,0)),0),
IF(AND($A163="COMPOSICAO",$A$8="COM DESONERAÇÃO"),_xlfn.XLOOKUP($B163,'CCD'!B:B,OFFSET('CCD'!$D:$D,0,1+MATCH($B$8,'CCD'!$E$4:$BF$4,0)),0),
IF(AND($A163="COMPOSICAO",$A$8="SEM ENCARGOS SOCIAIS"),_xlfn.XLOOKUP($B163,'CSE'!B:B,OFFSET('CSE'!$D:$D,0,1+MATCH($B$8,'CSE'!$E$9:$BF$9,0)),0),""
)))))))</f>
        <v>0</v>
      </c>
    </row>
    <row r="164" spans="6:8">
      <c r="F164" s="19" cm="1">
        <f t="array" ref="F164">IF($A164="","",
IF(AND($A164="INSUMO",$A$8="SEM DESONERAÇÃO"),_xlfn.LET(_xlpm.linha_insumo,MATCH($B164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_xlpm.preco_regional_as,INDEX($M:$M,MATCH($B164&amp;"_"&amp;$B$8,$K:$K,0)),
IF(ISERROR(_xlpm.linha_insumo),0,IF(_xlpm.preco_uf&lt;&gt;0,_xlpm.preco_uf,IF(ISNUMBER(_xlpm.preco_regional_as),_xlpm.preco_regional_as,_xlpm.preco_sp)))),
IF(AND($A164="INSUMO",$A$8="COM DESONERAÇÃO"),_xlfn.LET(_xlpm.linha_insumo,MATCH($B164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_xlpm.preco_regional_as,INDEX($N:$N,MATCH($B164&amp;"_"&amp;$B$8,$K:$K,0)),
IF(ISERROR(_xlpm.linha_insumo),0,IF(_xlpm.preco_uf&lt;&gt;0,_xlpm.preco_uf,IF(ISNUMBER(_xlpm.preco_regional_as),_xlpm.preco_regional_as,_xlpm.preco_sp)))),
IF(AND($A164="INSUMO",$A$8="SEM ENCARGOS SOCIAIS"),_xlfn.LET(_xlpm.linha_insumo,MATCH($B164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_xlpm.preco_regional_as,INDEX($L:$L,MATCH($B164&amp;"_"&amp;$B$8,$K:$K,0)),
IF(ISERROR(_xlpm.linha_insumo),0,IF(_xlpm.preco_uf&lt;&gt;0,_xlpm.preco_uf,IF(ISNUMBER(_xlpm.preco_regional_as),_xlpm.preco_regional_as,_xlpm.preco_sp)))),
IF(AND($A164="COMPOSICAO",$A$8="SEM DESONERAÇÃO"),_xlfn.XLOOKUP($B164,'CSD'!B:B,OFFSET('CSD'!$D:$D,0,MATCH($B$8,'CSD'!$E$4:$BF$4,0)),0),
IF(AND($A164="COMPOSICAO",$A$8="COM DESONERAÇÃO"),_xlfn.XLOOKUP($B164,'CCD'!B:B,OFFSET('CCD'!$D:$D,0,MATCH($B$8,'CCD'!$E$4:$BF$4,0)),0),
IF(AND($A164="COMPOSICAO",$A$8="SEM ENCARGOS SOCIAIS"),_xlfn.XLOOKUP($B164,'CSE'!B:B,OFFSET('CSE'!$D:$D,0,MATCH($B$8,'CSE'!$E$9:$BF$9,0)),0),""
)))))))</f>
        <v>0</v>
      </c>
      <c r="G164" s="19">
        <f>IF($A164="","",TRUNC(E164*F164,2))</f>
        <v>0</v>
      </c>
      <c r="H164" s="20" cm="1">
        <f t="array" ref="H164">IF($A164="","",
IF(AND($A164="INSUMO",$A$8="SEM DESONERAÇÃO"),_xlfn.LET(_xlpm.linha_insumo,MATCH($B164,'ISD'!$B:$B,0),_xlpm.coluna_uf,MATCH($B$8,'ISD'!$F$4:$AF$4,0),_xlpm.preco_uf,INDEX('ISD'!$F:$AF,_xlpm.linha_insumo,_xlpm.coluna_uf),IF(ISERROR(_xlpm.linha_insumo),"",IF(_xlpm.preco_uf&lt;&gt;0,0%,100%))),
IF(AND($A164="INSUMO",$A$8="COM DESONERAÇÃO"),_xlfn.LET(_xlpm.linha_insumo,MATCH($B164,'ICD'!$B:$B,0),_xlpm.coluna_uf,MATCH($B$8,'ICD'!$F$4:$AF$4,0),_xlpm.preco_uf,INDEX('ICD'!$F:$AF,_xlpm.linha_insumo,_xlpm.coluna_uf),IF(ISERROR(_xlpm.linha_insumo),"",IF(_xlpm.preco_uf&lt;&gt;0,0%,100%))),
IF(AND($A164="INSUMO",$A$8="SEM ENCARGOS SOCIAIS"),_xlfn.LET(_xlpm.linha_insumo,MATCH($B164,'ISE'!$B:$B,0),_xlpm.coluna_uf,MATCH($B$8,'ISE'!$F$10:$AF$10,0),_xlpm.preco_uf,INDEX('ISE'!$F:$AF,_xlpm.linha_insumo,_xlpm.coluna_uf),IF(ISERROR(_xlpm.linha_insumo),"",IF(_xlpm.preco_uf&lt;&gt;0,0%,100%))),
IF(AND($A164="COMPOSICAO",$A$8="SEM DESONERAÇÃO"),_xlfn.XLOOKUP($B164,'CSD'!B:B,OFFSET('CSD'!$D:$D,0,1+MATCH($B$8,'CSD'!$E$4:$BF$4,0)),0),
IF(AND($A164="COMPOSICAO",$A$8="COM DESONERAÇÃO"),_xlfn.XLOOKUP($B164,'CCD'!B:B,OFFSET('CCD'!$D:$D,0,1+MATCH($B$8,'CCD'!$E$4:$BF$4,0)),0),
IF(AND($A164="COMPOSICAO",$A$8="SEM ENCARGOS SOCIAIS"),_xlfn.XLOOKUP($B164,'CSE'!B:B,OFFSET('CSE'!$D:$D,0,1+MATCH($B$8,'CSE'!$E$9:$BF$9,0)),0),""
)))))))</f>
        <v>0</v>
      </c>
    </row>
    <row r="165" spans="6:8">
      <c r="F165" s="19" cm="1">
        <f t="array" ref="F165">IF($A165="","",
IF(AND($A165="INSUMO",$A$8="SEM DESONERAÇÃO"),_xlfn.LET(_xlpm.linha_insumo,MATCH($B165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_xlpm.preco_regional_as,INDEX($M:$M,MATCH($B165&amp;"_"&amp;$B$8,$K:$K,0)),
IF(ISERROR(_xlpm.linha_insumo),0,IF(_xlpm.preco_uf&lt;&gt;0,_xlpm.preco_uf,IF(ISNUMBER(_xlpm.preco_regional_as),_xlpm.preco_regional_as,_xlpm.preco_sp)))),
IF(AND($A165="INSUMO",$A$8="COM DESONERAÇÃO"),_xlfn.LET(_xlpm.linha_insumo,MATCH($B165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_xlpm.preco_regional_as,INDEX($N:$N,MATCH($B165&amp;"_"&amp;$B$8,$K:$K,0)),
IF(ISERROR(_xlpm.linha_insumo),0,IF(_xlpm.preco_uf&lt;&gt;0,_xlpm.preco_uf,IF(ISNUMBER(_xlpm.preco_regional_as),_xlpm.preco_regional_as,_xlpm.preco_sp)))),
IF(AND($A165="INSUMO",$A$8="SEM ENCARGOS SOCIAIS"),_xlfn.LET(_xlpm.linha_insumo,MATCH($B165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_xlpm.preco_regional_as,INDEX($L:$L,MATCH($B165&amp;"_"&amp;$B$8,$K:$K,0)),
IF(ISERROR(_xlpm.linha_insumo),0,IF(_xlpm.preco_uf&lt;&gt;0,_xlpm.preco_uf,IF(ISNUMBER(_xlpm.preco_regional_as),_xlpm.preco_regional_as,_xlpm.preco_sp)))),
IF(AND($A165="COMPOSICAO",$A$8="SEM DESONERAÇÃO"),_xlfn.XLOOKUP($B165,'CSD'!B:B,OFFSET('CSD'!$D:$D,0,MATCH($B$8,'CSD'!$E$4:$BF$4,0)),0),
IF(AND($A165="COMPOSICAO",$A$8="COM DESONERAÇÃO"),_xlfn.XLOOKUP($B165,'CCD'!B:B,OFFSET('CCD'!$D:$D,0,MATCH($B$8,'CCD'!$E$4:$BF$4,0)),0),
IF(AND($A165="COMPOSICAO",$A$8="SEM ENCARGOS SOCIAIS"),_xlfn.XLOOKUP($B165,'CSE'!B:B,OFFSET('CSE'!$D:$D,0,MATCH($B$8,'CSE'!$E$9:$BF$9,0)),0),""
)))))))</f>
        <v>0</v>
      </c>
      <c r="G165" s="19">
        <f>IF($A165="","",TRUNC(E165*F165,2))</f>
        <v>0</v>
      </c>
      <c r="H165" s="20" cm="1">
        <f t="array" ref="H165">IF($A165="","",
IF(AND($A165="INSUMO",$A$8="SEM DESONERAÇÃO"),_xlfn.LET(_xlpm.linha_insumo,MATCH($B165,'ISD'!$B:$B,0),_xlpm.coluna_uf,MATCH($B$8,'ISD'!$F$4:$AF$4,0),_xlpm.preco_uf,INDEX('ISD'!$F:$AF,_xlpm.linha_insumo,_xlpm.coluna_uf),IF(ISERROR(_xlpm.linha_insumo),"",IF(_xlpm.preco_uf&lt;&gt;0,0%,100%))),
IF(AND($A165="INSUMO",$A$8="COM DESONERAÇÃO"),_xlfn.LET(_xlpm.linha_insumo,MATCH($B165,'ICD'!$B:$B,0),_xlpm.coluna_uf,MATCH($B$8,'ICD'!$F$4:$AF$4,0),_xlpm.preco_uf,INDEX('ICD'!$F:$AF,_xlpm.linha_insumo,_xlpm.coluna_uf),IF(ISERROR(_xlpm.linha_insumo),"",IF(_xlpm.preco_uf&lt;&gt;0,0%,100%))),
IF(AND($A165="INSUMO",$A$8="SEM ENCARGOS SOCIAIS"),_xlfn.LET(_xlpm.linha_insumo,MATCH($B165,'ISE'!$B:$B,0),_xlpm.coluna_uf,MATCH($B$8,'ISE'!$F$10:$AF$10,0),_xlpm.preco_uf,INDEX('ISE'!$F:$AF,_xlpm.linha_insumo,_xlpm.coluna_uf),IF(ISERROR(_xlpm.linha_insumo),"",IF(_xlpm.preco_uf&lt;&gt;0,0%,100%))),
IF(AND($A165="COMPOSICAO",$A$8="SEM DESONERAÇÃO"),_xlfn.XLOOKUP($B165,'CSD'!B:B,OFFSET('CSD'!$D:$D,0,1+MATCH($B$8,'CSD'!$E$4:$BF$4,0)),0),
IF(AND($A165="COMPOSICAO",$A$8="COM DESONERAÇÃO"),_xlfn.XLOOKUP($B165,'CCD'!B:B,OFFSET('CCD'!$D:$D,0,1+MATCH($B$8,'CCD'!$E$4:$BF$4,0)),0),
IF(AND($A165="COMPOSICAO",$A$8="SEM ENCARGOS SOCIAIS"),_xlfn.XLOOKUP($B165,'CSE'!B:B,OFFSET('CSE'!$D:$D,0,1+MATCH($B$8,'CSE'!$E$9:$BF$9,0)),0),""
)))))))</f>
        <v>0</v>
      </c>
    </row>
    <row r="166" spans="6:8">
      <c r="F166" s="19" cm="1">
        <f t="array" ref="F166">IF($A166="","",
IF(AND($A166="INSUMO",$A$8="SEM DESONERAÇÃO"),_xlfn.LET(_xlpm.linha_insumo,MATCH($B166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_xlpm.preco_regional_as,INDEX($M:$M,MATCH($B166&amp;"_"&amp;$B$8,$K:$K,0)),
IF(ISERROR(_xlpm.linha_insumo),0,IF(_xlpm.preco_uf&lt;&gt;0,_xlpm.preco_uf,IF(ISNUMBER(_xlpm.preco_regional_as),_xlpm.preco_regional_as,_xlpm.preco_sp)))),
IF(AND($A166="INSUMO",$A$8="COM DESONERAÇÃO"),_xlfn.LET(_xlpm.linha_insumo,MATCH($B166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_xlpm.preco_regional_as,INDEX($N:$N,MATCH($B166&amp;"_"&amp;$B$8,$K:$K,0)),
IF(ISERROR(_xlpm.linha_insumo),0,IF(_xlpm.preco_uf&lt;&gt;0,_xlpm.preco_uf,IF(ISNUMBER(_xlpm.preco_regional_as),_xlpm.preco_regional_as,_xlpm.preco_sp)))),
IF(AND($A166="INSUMO",$A$8="SEM ENCARGOS SOCIAIS"),_xlfn.LET(_xlpm.linha_insumo,MATCH($B166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_xlpm.preco_regional_as,INDEX($L:$L,MATCH($B166&amp;"_"&amp;$B$8,$K:$K,0)),
IF(ISERROR(_xlpm.linha_insumo),0,IF(_xlpm.preco_uf&lt;&gt;0,_xlpm.preco_uf,IF(ISNUMBER(_xlpm.preco_regional_as),_xlpm.preco_regional_as,_xlpm.preco_sp)))),
IF(AND($A166="COMPOSICAO",$A$8="SEM DESONERAÇÃO"),_xlfn.XLOOKUP($B166,'CSD'!B:B,OFFSET('CSD'!$D:$D,0,MATCH($B$8,'CSD'!$E$4:$BF$4,0)),0),
IF(AND($A166="COMPOSICAO",$A$8="COM DESONERAÇÃO"),_xlfn.XLOOKUP($B166,'CCD'!B:B,OFFSET('CCD'!$D:$D,0,MATCH($B$8,'CCD'!$E$4:$BF$4,0)),0),
IF(AND($A166="COMPOSICAO",$A$8="SEM ENCARGOS SOCIAIS"),_xlfn.XLOOKUP($B166,'CSE'!B:B,OFFSET('CSE'!$D:$D,0,MATCH($B$8,'CSE'!$E$9:$BF$9,0)),0),""
)))))))</f>
        <v>0</v>
      </c>
      <c r="G166" s="19">
        <f>IF($A166="","",TRUNC(E166*F166,2))</f>
        <v>0</v>
      </c>
      <c r="H166" s="20" cm="1">
        <f t="array" ref="H166">IF($A166="","",
IF(AND($A166="INSUMO",$A$8="SEM DESONERAÇÃO"),_xlfn.LET(_xlpm.linha_insumo,MATCH($B166,'ISD'!$B:$B,0),_xlpm.coluna_uf,MATCH($B$8,'ISD'!$F$4:$AF$4,0),_xlpm.preco_uf,INDEX('ISD'!$F:$AF,_xlpm.linha_insumo,_xlpm.coluna_uf),IF(ISERROR(_xlpm.linha_insumo),"",IF(_xlpm.preco_uf&lt;&gt;0,0%,100%))),
IF(AND($A166="INSUMO",$A$8="COM DESONERAÇÃO"),_xlfn.LET(_xlpm.linha_insumo,MATCH($B166,'ICD'!$B:$B,0),_xlpm.coluna_uf,MATCH($B$8,'ICD'!$F$4:$AF$4,0),_xlpm.preco_uf,INDEX('ICD'!$F:$AF,_xlpm.linha_insumo,_xlpm.coluna_uf),IF(ISERROR(_xlpm.linha_insumo),"",IF(_xlpm.preco_uf&lt;&gt;0,0%,100%))),
IF(AND($A166="INSUMO",$A$8="SEM ENCARGOS SOCIAIS"),_xlfn.LET(_xlpm.linha_insumo,MATCH($B166,'ISE'!$B:$B,0),_xlpm.coluna_uf,MATCH($B$8,'ISE'!$F$10:$AF$10,0),_xlpm.preco_uf,INDEX('ISE'!$F:$AF,_xlpm.linha_insumo,_xlpm.coluna_uf),IF(ISERROR(_xlpm.linha_insumo),"",IF(_xlpm.preco_uf&lt;&gt;0,0%,100%))),
IF(AND($A166="COMPOSICAO",$A$8="SEM DESONERAÇÃO"),_xlfn.XLOOKUP($B166,'CSD'!B:B,OFFSET('CSD'!$D:$D,0,1+MATCH($B$8,'CSD'!$E$4:$BF$4,0)),0),
IF(AND($A166="COMPOSICAO",$A$8="COM DESONERAÇÃO"),_xlfn.XLOOKUP($B166,'CCD'!B:B,OFFSET('CCD'!$D:$D,0,1+MATCH($B$8,'CCD'!$E$4:$BF$4,0)),0),
IF(AND($A166="COMPOSICAO",$A$8="SEM ENCARGOS SOCIAIS"),_xlfn.XLOOKUP($B166,'CSE'!B:B,OFFSET('CSE'!$D:$D,0,1+MATCH($B$8,'CSE'!$E$9:$BF$9,0)),0),""
)))))))</f>
        <v>0</v>
      </c>
    </row>
    <row r="167" spans="6:8">
      <c r="F167" s="19" cm="1">
        <f t="array" ref="F167">IF($A167="","",
IF(AND($A167="INSUMO",$A$8="SEM DESONERAÇÃO"),_xlfn.LET(_xlpm.linha_insumo,MATCH($B167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_xlpm.preco_regional_as,INDEX($M:$M,MATCH($B167&amp;"_"&amp;$B$8,$K:$K,0)),
IF(ISERROR(_xlpm.linha_insumo),0,IF(_xlpm.preco_uf&lt;&gt;0,_xlpm.preco_uf,IF(ISNUMBER(_xlpm.preco_regional_as),_xlpm.preco_regional_as,_xlpm.preco_sp)))),
IF(AND($A167="INSUMO",$A$8="COM DESONERAÇÃO"),_xlfn.LET(_xlpm.linha_insumo,MATCH($B167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_xlpm.preco_regional_as,INDEX($N:$N,MATCH($B167&amp;"_"&amp;$B$8,$K:$K,0)),
IF(ISERROR(_xlpm.linha_insumo),0,IF(_xlpm.preco_uf&lt;&gt;0,_xlpm.preco_uf,IF(ISNUMBER(_xlpm.preco_regional_as),_xlpm.preco_regional_as,_xlpm.preco_sp)))),
IF(AND($A167="INSUMO",$A$8="SEM ENCARGOS SOCIAIS"),_xlfn.LET(_xlpm.linha_insumo,MATCH($B167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_xlpm.preco_regional_as,INDEX($L:$L,MATCH($B167&amp;"_"&amp;$B$8,$K:$K,0)),
IF(ISERROR(_xlpm.linha_insumo),0,IF(_xlpm.preco_uf&lt;&gt;0,_xlpm.preco_uf,IF(ISNUMBER(_xlpm.preco_regional_as),_xlpm.preco_regional_as,_xlpm.preco_sp)))),
IF(AND($A167="COMPOSICAO",$A$8="SEM DESONERAÇÃO"),_xlfn.XLOOKUP($B167,'CSD'!B:B,OFFSET('CSD'!$D:$D,0,MATCH($B$8,'CSD'!$E$4:$BF$4,0)),0),
IF(AND($A167="COMPOSICAO",$A$8="COM DESONERAÇÃO"),_xlfn.XLOOKUP($B167,'CCD'!B:B,OFFSET('CCD'!$D:$D,0,MATCH($B$8,'CCD'!$E$4:$BF$4,0)),0),
IF(AND($A167="COMPOSICAO",$A$8="SEM ENCARGOS SOCIAIS"),_xlfn.XLOOKUP($B167,'CSE'!B:B,OFFSET('CSE'!$D:$D,0,MATCH($B$8,'CSE'!$E$9:$BF$9,0)),0),""
)))))))</f>
        <v>0</v>
      </c>
      <c r="G167" s="19">
        <f>IF($A167="","",TRUNC(E167*F167,2))</f>
        <v>0</v>
      </c>
      <c r="H167" s="20" cm="1">
        <f t="array" ref="H167">IF($A167="","",
IF(AND($A167="INSUMO",$A$8="SEM DESONERAÇÃO"),_xlfn.LET(_xlpm.linha_insumo,MATCH($B167,'ISD'!$B:$B,0),_xlpm.coluna_uf,MATCH($B$8,'ISD'!$F$4:$AF$4,0),_xlpm.preco_uf,INDEX('ISD'!$F:$AF,_xlpm.linha_insumo,_xlpm.coluna_uf),IF(ISERROR(_xlpm.linha_insumo),"",IF(_xlpm.preco_uf&lt;&gt;0,0%,100%))),
IF(AND($A167="INSUMO",$A$8="COM DESONERAÇÃO"),_xlfn.LET(_xlpm.linha_insumo,MATCH($B167,'ICD'!$B:$B,0),_xlpm.coluna_uf,MATCH($B$8,'ICD'!$F$4:$AF$4,0),_xlpm.preco_uf,INDEX('ICD'!$F:$AF,_xlpm.linha_insumo,_xlpm.coluna_uf),IF(ISERROR(_xlpm.linha_insumo),"",IF(_xlpm.preco_uf&lt;&gt;0,0%,100%))),
IF(AND($A167="INSUMO",$A$8="SEM ENCARGOS SOCIAIS"),_xlfn.LET(_xlpm.linha_insumo,MATCH($B167,'ISE'!$B:$B,0),_xlpm.coluna_uf,MATCH($B$8,'ISE'!$F$10:$AF$10,0),_xlpm.preco_uf,INDEX('ISE'!$F:$AF,_xlpm.linha_insumo,_xlpm.coluna_uf),IF(ISERROR(_xlpm.linha_insumo),"",IF(_xlpm.preco_uf&lt;&gt;0,0%,100%))),
IF(AND($A167="COMPOSICAO",$A$8="SEM DESONERAÇÃO"),_xlfn.XLOOKUP($B167,'CSD'!B:B,OFFSET('CSD'!$D:$D,0,1+MATCH($B$8,'CSD'!$E$4:$BF$4,0)),0),
IF(AND($A167="COMPOSICAO",$A$8="COM DESONERAÇÃO"),_xlfn.XLOOKUP($B167,'CCD'!B:B,OFFSET('CCD'!$D:$D,0,1+MATCH($B$8,'CCD'!$E$4:$BF$4,0)),0),
IF(AND($A167="COMPOSICAO",$A$8="SEM ENCARGOS SOCIAIS"),_xlfn.XLOOKUP($B167,'CSE'!B:B,OFFSET('CSE'!$D:$D,0,1+MATCH($B$8,'CSE'!$E$9:$BF$9,0)),0),""
)))))))</f>
        <v>0</v>
      </c>
    </row>
    <row r="168" spans="6:8">
      <c r="F168" s="19" cm="1">
        <f t="array" ref="F168">IF($A168="","",
IF(AND($A168="INSUMO",$A$8="SEM DESONERAÇÃO"),_xlfn.LET(_xlpm.linha_insumo,MATCH($B168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_xlpm.preco_regional_as,INDEX($M:$M,MATCH($B168&amp;"_"&amp;$B$8,$K:$K,0)),
IF(ISERROR(_xlpm.linha_insumo),0,IF(_xlpm.preco_uf&lt;&gt;0,_xlpm.preco_uf,IF(ISNUMBER(_xlpm.preco_regional_as),_xlpm.preco_regional_as,_xlpm.preco_sp)))),
IF(AND($A168="INSUMO",$A$8="COM DESONERAÇÃO"),_xlfn.LET(_xlpm.linha_insumo,MATCH($B168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_xlpm.preco_regional_as,INDEX($N:$N,MATCH($B168&amp;"_"&amp;$B$8,$K:$K,0)),
IF(ISERROR(_xlpm.linha_insumo),0,IF(_xlpm.preco_uf&lt;&gt;0,_xlpm.preco_uf,IF(ISNUMBER(_xlpm.preco_regional_as),_xlpm.preco_regional_as,_xlpm.preco_sp)))),
IF(AND($A168="INSUMO",$A$8="SEM ENCARGOS SOCIAIS"),_xlfn.LET(_xlpm.linha_insumo,MATCH($B168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_xlpm.preco_regional_as,INDEX($L:$L,MATCH($B168&amp;"_"&amp;$B$8,$K:$K,0)),
IF(ISERROR(_xlpm.linha_insumo),0,IF(_xlpm.preco_uf&lt;&gt;0,_xlpm.preco_uf,IF(ISNUMBER(_xlpm.preco_regional_as),_xlpm.preco_regional_as,_xlpm.preco_sp)))),
IF(AND($A168="COMPOSICAO",$A$8="SEM DESONERAÇÃO"),_xlfn.XLOOKUP($B168,'CSD'!B:B,OFFSET('CSD'!$D:$D,0,MATCH($B$8,'CSD'!$E$4:$BF$4,0)),0),
IF(AND($A168="COMPOSICAO",$A$8="COM DESONERAÇÃO"),_xlfn.XLOOKUP($B168,'CCD'!B:B,OFFSET('CCD'!$D:$D,0,MATCH($B$8,'CCD'!$E$4:$BF$4,0)),0),
IF(AND($A168="COMPOSICAO",$A$8="SEM ENCARGOS SOCIAIS"),_xlfn.XLOOKUP($B168,'CSE'!B:B,OFFSET('CSE'!$D:$D,0,MATCH($B$8,'CSE'!$E$9:$BF$9,0)),0),""
)))))))</f>
        <v>0</v>
      </c>
      <c r="G168" s="19">
        <f>IF($A168="","",TRUNC(E168*F168,2))</f>
        <v>0</v>
      </c>
      <c r="H168" s="20" cm="1">
        <f t="array" ref="H168">IF($A168="","",
IF(AND($A168="INSUMO",$A$8="SEM DESONERAÇÃO"),_xlfn.LET(_xlpm.linha_insumo,MATCH($B168,'ISD'!$B:$B,0),_xlpm.coluna_uf,MATCH($B$8,'ISD'!$F$4:$AF$4,0),_xlpm.preco_uf,INDEX('ISD'!$F:$AF,_xlpm.linha_insumo,_xlpm.coluna_uf),IF(ISERROR(_xlpm.linha_insumo),"",IF(_xlpm.preco_uf&lt;&gt;0,0%,100%))),
IF(AND($A168="INSUMO",$A$8="COM DESONERAÇÃO"),_xlfn.LET(_xlpm.linha_insumo,MATCH($B168,'ICD'!$B:$B,0),_xlpm.coluna_uf,MATCH($B$8,'ICD'!$F$4:$AF$4,0),_xlpm.preco_uf,INDEX('ICD'!$F:$AF,_xlpm.linha_insumo,_xlpm.coluna_uf),IF(ISERROR(_xlpm.linha_insumo),"",IF(_xlpm.preco_uf&lt;&gt;0,0%,100%))),
IF(AND($A168="INSUMO",$A$8="SEM ENCARGOS SOCIAIS"),_xlfn.LET(_xlpm.linha_insumo,MATCH($B168,'ISE'!$B:$B,0),_xlpm.coluna_uf,MATCH($B$8,'ISE'!$F$10:$AF$10,0),_xlpm.preco_uf,INDEX('ISE'!$F:$AF,_xlpm.linha_insumo,_xlpm.coluna_uf),IF(ISERROR(_xlpm.linha_insumo),"",IF(_xlpm.preco_uf&lt;&gt;0,0%,100%))),
IF(AND($A168="COMPOSICAO",$A$8="SEM DESONERAÇÃO"),_xlfn.XLOOKUP($B168,'CSD'!B:B,OFFSET('CSD'!$D:$D,0,1+MATCH($B$8,'CSD'!$E$4:$BF$4,0)),0),
IF(AND($A168="COMPOSICAO",$A$8="COM DESONERAÇÃO"),_xlfn.XLOOKUP($B168,'CCD'!B:B,OFFSET('CCD'!$D:$D,0,1+MATCH($B$8,'CCD'!$E$4:$BF$4,0)),0),
IF(AND($A168="COMPOSICAO",$A$8="SEM ENCARGOS SOCIAIS"),_xlfn.XLOOKUP($B168,'CSE'!B:B,OFFSET('CSE'!$D:$D,0,1+MATCH($B$8,'CSE'!$E$9:$BF$9,0)),0),""
)))))))</f>
        <v>0</v>
      </c>
    </row>
    <row r="169" spans="6:8">
      <c r="F169" s="19" cm="1">
        <f t="array" ref="F169">IF($A169="","",
IF(AND($A169="INSUMO",$A$8="SEM DESONERAÇÃO"),_xlfn.LET(_xlpm.linha_insumo,MATCH($B169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_xlpm.preco_regional_as,INDEX($M:$M,MATCH($B169&amp;"_"&amp;$B$8,$K:$K,0)),
IF(ISERROR(_xlpm.linha_insumo),0,IF(_xlpm.preco_uf&lt;&gt;0,_xlpm.preco_uf,IF(ISNUMBER(_xlpm.preco_regional_as),_xlpm.preco_regional_as,_xlpm.preco_sp)))),
IF(AND($A169="INSUMO",$A$8="COM DESONERAÇÃO"),_xlfn.LET(_xlpm.linha_insumo,MATCH($B169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_xlpm.preco_regional_as,INDEX($N:$N,MATCH($B169&amp;"_"&amp;$B$8,$K:$K,0)),
IF(ISERROR(_xlpm.linha_insumo),0,IF(_xlpm.preco_uf&lt;&gt;0,_xlpm.preco_uf,IF(ISNUMBER(_xlpm.preco_regional_as),_xlpm.preco_regional_as,_xlpm.preco_sp)))),
IF(AND($A169="INSUMO",$A$8="SEM ENCARGOS SOCIAIS"),_xlfn.LET(_xlpm.linha_insumo,MATCH($B169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_xlpm.preco_regional_as,INDEX($L:$L,MATCH($B169&amp;"_"&amp;$B$8,$K:$K,0)),
IF(ISERROR(_xlpm.linha_insumo),0,IF(_xlpm.preco_uf&lt;&gt;0,_xlpm.preco_uf,IF(ISNUMBER(_xlpm.preco_regional_as),_xlpm.preco_regional_as,_xlpm.preco_sp)))),
IF(AND($A169="COMPOSICAO",$A$8="SEM DESONERAÇÃO"),_xlfn.XLOOKUP($B169,'CSD'!B:B,OFFSET('CSD'!$D:$D,0,MATCH($B$8,'CSD'!$E$4:$BF$4,0)),0),
IF(AND($A169="COMPOSICAO",$A$8="COM DESONERAÇÃO"),_xlfn.XLOOKUP($B169,'CCD'!B:B,OFFSET('CCD'!$D:$D,0,MATCH($B$8,'CCD'!$E$4:$BF$4,0)),0),
IF(AND($A169="COMPOSICAO",$A$8="SEM ENCARGOS SOCIAIS"),_xlfn.XLOOKUP($B169,'CSE'!B:B,OFFSET('CSE'!$D:$D,0,MATCH($B$8,'CSE'!$E$9:$BF$9,0)),0),""
)))))))</f>
        <v>0</v>
      </c>
      <c r="G169" s="19">
        <f>IF($A169="","",TRUNC(E169*F169,2))</f>
        <v>0</v>
      </c>
      <c r="H169" s="20" cm="1">
        <f t="array" ref="H169">IF($A169="","",
IF(AND($A169="INSUMO",$A$8="SEM DESONERAÇÃO"),_xlfn.LET(_xlpm.linha_insumo,MATCH($B169,'ISD'!$B:$B,0),_xlpm.coluna_uf,MATCH($B$8,'ISD'!$F$4:$AF$4,0),_xlpm.preco_uf,INDEX('ISD'!$F:$AF,_xlpm.linha_insumo,_xlpm.coluna_uf),IF(ISERROR(_xlpm.linha_insumo),"",IF(_xlpm.preco_uf&lt;&gt;0,0%,100%))),
IF(AND($A169="INSUMO",$A$8="COM DESONERAÇÃO"),_xlfn.LET(_xlpm.linha_insumo,MATCH($B169,'ICD'!$B:$B,0),_xlpm.coluna_uf,MATCH($B$8,'ICD'!$F$4:$AF$4,0),_xlpm.preco_uf,INDEX('ICD'!$F:$AF,_xlpm.linha_insumo,_xlpm.coluna_uf),IF(ISERROR(_xlpm.linha_insumo),"",IF(_xlpm.preco_uf&lt;&gt;0,0%,100%))),
IF(AND($A169="INSUMO",$A$8="SEM ENCARGOS SOCIAIS"),_xlfn.LET(_xlpm.linha_insumo,MATCH($B169,'ISE'!$B:$B,0),_xlpm.coluna_uf,MATCH($B$8,'ISE'!$F$10:$AF$10,0),_xlpm.preco_uf,INDEX('ISE'!$F:$AF,_xlpm.linha_insumo,_xlpm.coluna_uf),IF(ISERROR(_xlpm.linha_insumo),"",IF(_xlpm.preco_uf&lt;&gt;0,0%,100%))),
IF(AND($A169="COMPOSICAO",$A$8="SEM DESONERAÇÃO"),_xlfn.XLOOKUP($B169,'CSD'!B:B,OFFSET('CSD'!$D:$D,0,1+MATCH($B$8,'CSD'!$E$4:$BF$4,0)),0),
IF(AND($A169="COMPOSICAO",$A$8="COM DESONERAÇÃO"),_xlfn.XLOOKUP($B169,'CCD'!B:B,OFFSET('CCD'!$D:$D,0,1+MATCH($B$8,'CCD'!$E$4:$BF$4,0)),0),
IF(AND($A169="COMPOSICAO",$A$8="SEM ENCARGOS SOCIAIS"),_xlfn.XLOOKUP($B169,'CSE'!B:B,OFFSET('CSE'!$D:$D,0,1+MATCH($B$8,'CSE'!$E$9:$BF$9,0)),0),""
)))))))</f>
        <v>0</v>
      </c>
    </row>
    <row r="170" spans="6:8">
      <c r="F170" s="19" cm="1">
        <f t="array" ref="F170">IF($A170="","",
IF(AND($A170="INSUMO",$A$8="SEM DESONERAÇÃO"),_xlfn.LET(_xlpm.linha_insumo,MATCH($B170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_xlpm.preco_regional_as,INDEX($M:$M,MATCH($B170&amp;"_"&amp;$B$8,$K:$K,0)),
IF(ISERROR(_xlpm.linha_insumo),0,IF(_xlpm.preco_uf&lt;&gt;0,_xlpm.preco_uf,IF(ISNUMBER(_xlpm.preco_regional_as),_xlpm.preco_regional_as,_xlpm.preco_sp)))),
IF(AND($A170="INSUMO",$A$8="COM DESONERAÇÃO"),_xlfn.LET(_xlpm.linha_insumo,MATCH($B170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_xlpm.preco_regional_as,INDEX($N:$N,MATCH($B170&amp;"_"&amp;$B$8,$K:$K,0)),
IF(ISERROR(_xlpm.linha_insumo),0,IF(_xlpm.preco_uf&lt;&gt;0,_xlpm.preco_uf,IF(ISNUMBER(_xlpm.preco_regional_as),_xlpm.preco_regional_as,_xlpm.preco_sp)))),
IF(AND($A170="INSUMO",$A$8="SEM ENCARGOS SOCIAIS"),_xlfn.LET(_xlpm.linha_insumo,MATCH($B170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_xlpm.preco_regional_as,INDEX($L:$L,MATCH($B170&amp;"_"&amp;$B$8,$K:$K,0)),
IF(ISERROR(_xlpm.linha_insumo),0,IF(_xlpm.preco_uf&lt;&gt;0,_xlpm.preco_uf,IF(ISNUMBER(_xlpm.preco_regional_as),_xlpm.preco_regional_as,_xlpm.preco_sp)))),
IF(AND($A170="COMPOSICAO",$A$8="SEM DESONERAÇÃO"),_xlfn.XLOOKUP($B170,'CSD'!B:B,OFFSET('CSD'!$D:$D,0,MATCH($B$8,'CSD'!$E$4:$BF$4,0)),0),
IF(AND($A170="COMPOSICAO",$A$8="COM DESONERAÇÃO"),_xlfn.XLOOKUP($B170,'CCD'!B:B,OFFSET('CCD'!$D:$D,0,MATCH($B$8,'CCD'!$E$4:$BF$4,0)),0),
IF(AND($A170="COMPOSICAO",$A$8="SEM ENCARGOS SOCIAIS"),_xlfn.XLOOKUP($B170,'CSE'!B:B,OFFSET('CSE'!$D:$D,0,MATCH($B$8,'CSE'!$E$9:$BF$9,0)),0),""
)))))))</f>
        <v>0</v>
      </c>
      <c r="G170" s="19">
        <f>IF($A170="","",TRUNC(E170*F170,2))</f>
        <v>0</v>
      </c>
      <c r="H170" s="20" cm="1">
        <f t="array" ref="H170">IF($A170="","",
IF(AND($A170="INSUMO",$A$8="SEM DESONERAÇÃO"),_xlfn.LET(_xlpm.linha_insumo,MATCH($B170,'ISD'!$B:$B,0),_xlpm.coluna_uf,MATCH($B$8,'ISD'!$F$4:$AF$4,0),_xlpm.preco_uf,INDEX('ISD'!$F:$AF,_xlpm.linha_insumo,_xlpm.coluna_uf),IF(ISERROR(_xlpm.linha_insumo),"",IF(_xlpm.preco_uf&lt;&gt;0,0%,100%))),
IF(AND($A170="INSUMO",$A$8="COM DESONERAÇÃO"),_xlfn.LET(_xlpm.linha_insumo,MATCH($B170,'ICD'!$B:$B,0),_xlpm.coluna_uf,MATCH($B$8,'ICD'!$F$4:$AF$4,0),_xlpm.preco_uf,INDEX('ICD'!$F:$AF,_xlpm.linha_insumo,_xlpm.coluna_uf),IF(ISERROR(_xlpm.linha_insumo),"",IF(_xlpm.preco_uf&lt;&gt;0,0%,100%))),
IF(AND($A170="INSUMO",$A$8="SEM ENCARGOS SOCIAIS"),_xlfn.LET(_xlpm.linha_insumo,MATCH($B170,'ISE'!$B:$B,0),_xlpm.coluna_uf,MATCH($B$8,'ISE'!$F$10:$AF$10,0),_xlpm.preco_uf,INDEX('ISE'!$F:$AF,_xlpm.linha_insumo,_xlpm.coluna_uf),IF(ISERROR(_xlpm.linha_insumo),"",IF(_xlpm.preco_uf&lt;&gt;0,0%,100%))),
IF(AND($A170="COMPOSICAO",$A$8="SEM DESONERAÇÃO"),_xlfn.XLOOKUP($B170,'CSD'!B:B,OFFSET('CSD'!$D:$D,0,1+MATCH($B$8,'CSD'!$E$4:$BF$4,0)),0),
IF(AND($A170="COMPOSICAO",$A$8="COM DESONERAÇÃO"),_xlfn.XLOOKUP($B170,'CCD'!B:B,OFFSET('CCD'!$D:$D,0,1+MATCH($B$8,'CCD'!$E$4:$BF$4,0)),0),
IF(AND($A170="COMPOSICAO",$A$8="SEM ENCARGOS SOCIAIS"),_xlfn.XLOOKUP($B170,'CSE'!B:B,OFFSET('CSE'!$D:$D,0,1+MATCH($B$8,'CSE'!$E$9:$BF$9,0)),0),""
)))))))</f>
        <v>0</v>
      </c>
    </row>
    <row r="171" spans="6:8">
      <c r="F171" s="19" cm="1">
        <f t="array" ref="F171">IF($A171="","",
IF(AND($A171="INSUMO",$A$8="SEM DESONERAÇÃO"),_xlfn.LET(_xlpm.linha_insumo,MATCH($B171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_xlpm.preco_regional_as,INDEX($M:$M,MATCH($B171&amp;"_"&amp;$B$8,$K:$K,0)),
IF(ISERROR(_xlpm.linha_insumo),0,IF(_xlpm.preco_uf&lt;&gt;0,_xlpm.preco_uf,IF(ISNUMBER(_xlpm.preco_regional_as),_xlpm.preco_regional_as,_xlpm.preco_sp)))),
IF(AND($A171="INSUMO",$A$8="COM DESONERAÇÃO"),_xlfn.LET(_xlpm.linha_insumo,MATCH($B171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_xlpm.preco_regional_as,INDEX($N:$N,MATCH($B171&amp;"_"&amp;$B$8,$K:$K,0)),
IF(ISERROR(_xlpm.linha_insumo),0,IF(_xlpm.preco_uf&lt;&gt;0,_xlpm.preco_uf,IF(ISNUMBER(_xlpm.preco_regional_as),_xlpm.preco_regional_as,_xlpm.preco_sp)))),
IF(AND($A171="INSUMO",$A$8="SEM ENCARGOS SOCIAIS"),_xlfn.LET(_xlpm.linha_insumo,MATCH($B171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_xlpm.preco_regional_as,INDEX($L:$L,MATCH($B171&amp;"_"&amp;$B$8,$K:$K,0)),
IF(ISERROR(_xlpm.linha_insumo),0,IF(_xlpm.preco_uf&lt;&gt;0,_xlpm.preco_uf,IF(ISNUMBER(_xlpm.preco_regional_as),_xlpm.preco_regional_as,_xlpm.preco_sp)))),
IF(AND($A171="COMPOSICAO",$A$8="SEM DESONERAÇÃO"),_xlfn.XLOOKUP($B171,'CSD'!B:B,OFFSET('CSD'!$D:$D,0,MATCH($B$8,'CSD'!$E$4:$BF$4,0)),0),
IF(AND($A171="COMPOSICAO",$A$8="COM DESONERAÇÃO"),_xlfn.XLOOKUP($B171,'CCD'!B:B,OFFSET('CCD'!$D:$D,0,MATCH($B$8,'CCD'!$E$4:$BF$4,0)),0),
IF(AND($A171="COMPOSICAO",$A$8="SEM ENCARGOS SOCIAIS"),_xlfn.XLOOKUP($B171,'CSE'!B:B,OFFSET('CSE'!$D:$D,0,MATCH($B$8,'CSE'!$E$9:$BF$9,0)),0),""
)))))))</f>
        <v>0</v>
      </c>
      <c r="G171" s="19">
        <f>IF($A171="","",TRUNC(E171*F171,2))</f>
        <v>0</v>
      </c>
      <c r="H171" s="20" cm="1">
        <f t="array" ref="H171">IF($A171="","",
IF(AND($A171="INSUMO",$A$8="SEM DESONERAÇÃO"),_xlfn.LET(_xlpm.linha_insumo,MATCH($B171,'ISD'!$B:$B,0),_xlpm.coluna_uf,MATCH($B$8,'ISD'!$F$4:$AF$4,0),_xlpm.preco_uf,INDEX('ISD'!$F:$AF,_xlpm.linha_insumo,_xlpm.coluna_uf),IF(ISERROR(_xlpm.linha_insumo),"",IF(_xlpm.preco_uf&lt;&gt;0,0%,100%))),
IF(AND($A171="INSUMO",$A$8="COM DESONERAÇÃO"),_xlfn.LET(_xlpm.linha_insumo,MATCH($B171,'ICD'!$B:$B,0),_xlpm.coluna_uf,MATCH($B$8,'ICD'!$F$4:$AF$4,0),_xlpm.preco_uf,INDEX('ICD'!$F:$AF,_xlpm.linha_insumo,_xlpm.coluna_uf),IF(ISERROR(_xlpm.linha_insumo),"",IF(_xlpm.preco_uf&lt;&gt;0,0%,100%))),
IF(AND($A171="INSUMO",$A$8="SEM ENCARGOS SOCIAIS"),_xlfn.LET(_xlpm.linha_insumo,MATCH($B171,'ISE'!$B:$B,0),_xlpm.coluna_uf,MATCH($B$8,'ISE'!$F$10:$AF$10,0),_xlpm.preco_uf,INDEX('ISE'!$F:$AF,_xlpm.linha_insumo,_xlpm.coluna_uf),IF(ISERROR(_xlpm.linha_insumo),"",IF(_xlpm.preco_uf&lt;&gt;0,0%,100%))),
IF(AND($A171="COMPOSICAO",$A$8="SEM DESONERAÇÃO"),_xlfn.XLOOKUP($B171,'CSD'!B:B,OFFSET('CSD'!$D:$D,0,1+MATCH($B$8,'CSD'!$E$4:$BF$4,0)),0),
IF(AND($A171="COMPOSICAO",$A$8="COM DESONERAÇÃO"),_xlfn.XLOOKUP($B171,'CCD'!B:B,OFFSET('CCD'!$D:$D,0,1+MATCH($B$8,'CCD'!$E$4:$BF$4,0)),0),
IF(AND($A171="COMPOSICAO",$A$8="SEM ENCARGOS SOCIAIS"),_xlfn.XLOOKUP($B171,'CSE'!B:B,OFFSET('CSE'!$D:$D,0,1+MATCH($B$8,'CSE'!$E$9:$BF$9,0)),0),""
)))))))</f>
        <v>0</v>
      </c>
    </row>
    <row r="172" spans="6:8">
      <c r="F172" s="19" cm="1">
        <f t="array" ref="F172">IF($A172="","",
IF(AND($A172="INSUMO",$A$8="SEM DESONERAÇÃO"),_xlfn.LET(_xlpm.linha_insumo,MATCH($B172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_xlpm.preco_regional_as,INDEX($M:$M,MATCH($B172&amp;"_"&amp;$B$8,$K:$K,0)),
IF(ISERROR(_xlpm.linha_insumo),0,IF(_xlpm.preco_uf&lt;&gt;0,_xlpm.preco_uf,IF(ISNUMBER(_xlpm.preco_regional_as),_xlpm.preco_regional_as,_xlpm.preco_sp)))),
IF(AND($A172="INSUMO",$A$8="COM DESONERAÇÃO"),_xlfn.LET(_xlpm.linha_insumo,MATCH($B172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_xlpm.preco_regional_as,INDEX($N:$N,MATCH($B172&amp;"_"&amp;$B$8,$K:$K,0)),
IF(ISERROR(_xlpm.linha_insumo),0,IF(_xlpm.preco_uf&lt;&gt;0,_xlpm.preco_uf,IF(ISNUMBER(_xlpm.preco_regional_as),_xlpm.preco_regional_as,_xlpm.preco_sp)))),
IF(AND($A172="INSUMO",$A$8="SEM ENCARGOS SOCIAIS"),_xlfn.LET(_xlpm.linha_insumo,MATCH($B172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_xlpm.preco_regional_as,INDEX($L:$L,MATCH($B172&amp;"_"&amp;$B$8,$K:$K,0)),
IF(ISERROR(_xlpm.linha_insumo),0,IF(_xlpm.preco_uf&lt;&gt;0,_xlpm.preco_uf,IF(ISNUMBER(_xlpm.preco_regional_as),_xlpm.preco_regional_as,_xlpm.preco_sp)))),
IF(AND($A172="COMPOSICAO",$A$8="SEM DESONERAÇÃO"),_xlfn.XLOOKUP($B172,'CSD'!B:B,OFFSET('CSD'!$D:$D,0,MATCH($B$8,'CSD'!$E$4:$BF$4,0)),0),
IF(AND($A172="COMPOSICAO",$A$8="COM DESONERAÇÃO"),_xlfn.XLOOKUP($B172,'CCD'!B:B,OFFSET('CCD'!$D:$D,0,MATCH($B$8,'CCD'!$E$4:$BF$4,0)),0),
IF(AND($A172="COMPOSICAO",$A$8="SEM ENCARGOS SOCIAIS"),_xlfn.XLOOKUP($B172,'CSE'!B:B,OFFSET('CSE'!$D:$D,0,MATCH($B$8,'CSE'!$E$9:$BF$9,0)),0),""
)))))))</f>
        <v>0</v>
      </c>
      <c r="G172" s="19">
        <f>IF($A172="","",TRUNC(E172*F172,2))</f>
        <v>0</v>
      </c>
      <c r="H172" s="20" cm="1">
        <f t="array" ref="H172">IF($A172="","",
IF(AND($A172="INSUMO",$A$8="SEM DESONERAÇÃO"),_xlfn.LET(_xlpm.linha_insumo,MATCH($B172,'ISD'!$B:$B,0),_xlpm.coluna_uf,MATCH($B$8,'ISD'!$F$4:$AF$4,0),_xlpm.preco_uf,INDEX('ISD'!$F:$AF,_xlpm.linha_insumo,_xlpm.coluna_uf),IF(ISERROR(_xlpm.linha_insumo),"",IF(_xlpm.preco_uf&lt;&gt;0,0%,100%))),
IF(AND($A172="INSUMO",$A$8="COM DESONERAÇÃO"),_xlfn.LET(_xlpm.linha_insumo,MATCH($B172,'ICD'!$B:$B,0),_xlpm.coluna_uf,MATCH($B$8,'ICD'!$F$4:$AF$4,0),_xlpm.preco_uf,INDEX('ICD'!$F:$AF,_xlpm.linha_insumo,_xlpm.coluna_uf),IF(ISERROR(_xlpm.linha_insumo),"",IF(_xlpm.preco_uf&lt;&gt;0,0%,100%))),
IF(AND($A172="INSUMO",$A$8="SEM ENCARGOS SOCIAIS"),_xlfn.LET(_xlpm.linha_insumo,MATCH($B172,'ISE'!$B:$B,0),_xlpm.coluna_uf,MATCH($B$8,'ISE'!$F$10:$AF$10,0),_xlpm.preco_uf,INDEX('ISE'!$F:$AF,_xlpm.linha_insumo,_xlpm.coluna_uf),IF(ISERROR(_xlpm.linha_insumo),"",IF(_xlpm.preco_uf&lt;&gt;0,0%,100%))),
IF(AND($A172="COMPOSICAO",$A$8="SEM DESONERAÇÃO"),_xlfn.XLOOKUP($B172,'CSD'!B:B,OFFSET('CSD'!$D:$D,0,1+MATCH($B$8,'CSD'!$E$4:$BF$4,0)),0),
IF(AND($A172="COMPOSICAO",$A$8="COM DESONERAÇÃO"),_xlfn.XLOOKUP($B172,'CCD'!B:B,OFFSET('CCD'!$D:$D,0,1+MATCH($B$8,'CCD'!$E$4:$BF$4,0)),0),
IF(AND($A172="COMPOSICAO",$A$8="SEM ENCARGOS SOCIAIS"),_xlfn.XLOOKUP($B172,'CSE'!B:B,OFFSET('CSE'!$D:$D,0,1+MATCH($B$8,'CSE'!$E$9:$BF$9,0)),0),""
)))))))</f>
        <v>0</v>
      </c>
    </row>
    <row r="173" spans="6:8">
      <c r="F173" s="19" cm="1">
        <f t="array" ref="F173">IF($A173="","",
IF(AND($A173="INSUMO",$A$8="SEM DESONERAÇÃO"),_xlfn.LET(_xlpm.linha_insumo,MATCH($B173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_xlpm.preco_regional_as,INDEX($M:$M,MATCH($B173&amp;"_"&amp;$B$8,$K:$K,0)),
IF(ISERROR(_xlpm.linha_insumo),0,IF(_xlpm.preco_uf&lt;&gt;0,_xlpm.preco_uf,IF(ISNUMBER(_xlpm.preco_regional_as),_xlpm.preco_regional_as,_xlpm.preco_sp)))),
IF(AND($A173="INSUMO",$A$8="COM DESONERAÇÃO"),_xlfn.LET(_xlpm.linha_insumo,MATCH($B173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_xlpm.preco_regional_as,INDEX($N:$N,MATCH($B173&amp;"_"&amp;$B$8,$K:$K,0)),
IF(ISERROR(_xlpm.linha_insumo),0,IF(_xlpm.preco_uf&lt;&gt;0,_xlpm.preco_uf,IF(ISNUMBER(_xlpm.preco_regional_as),_xlpm.preco_regional_as,_xlpm.preco_sp)))),
IF(AND($A173="INSUMO",$A$8="SEM ENCARGOS SOCIAIS"),_xlfn.LET(_xlpm.linha_insumo,MATCH($B173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_xlpm.preco_regional_as,INDEX($L:$L,MATCH($B173&amp;"_"&amp;$B$8,$K:$K,0)),
IF(ISERROR(_xlpm.linha_insumo),0,IF(_xlpm.preco_uf&lt;&gt;0,_xlpm.preco_uf,IF(ISNUMBER(_xlpm.preco_regional_as),_xlpm.preco_regional_as,_xlpm.preco_sp)))),
IF(AND($A173="COMPOSICAO",$A$8="SEM DESONERAÇÃO"),_xlfn.XLOOKUP($B173,'CSD'!B:B,OFFSET('CSD'!$D:$D,0,MATCH($B$8,'CSD'!$E$4:$BF$4,0)),0),
IF(AND($A173="COMPOSICAO",$A$8="COM DESONERAÇÃO"),_xlfn.XLOOKUP($B173,'CCD'!B:B,OFFSET('CCD'!$D:$D,0,MATCH($B$8,'CCD'!$E$4:$BF$4,0)),0),
IF(AND($A173="COMPOSICAO",$A$8="SEM ENCARGOS SOCIAIS"),_xlfn.XLOOKUP($B173,'CSE'!B:B,OFFSET('CSE'!$D:$D,0,MATCH($B$8,'CSE'!$E$9:$BF$9,0)),0),""
)))))))</f>
        <v>0</v>
      </c>
      <c r="G173" s="19">
        <f>IF($A173="","",TRUNC(E173*F173,2))</f>
        <v>0</v>
      </c>
      <c r="H173" s="20" cm="1">
        <f t="array" ref="H173">IF($A173="","",
IF(AND($A173="INSUMO",$A$8="SEM DESONERAÇÃO"),_xlfn.LET(_xlpm.linha_insumo,MATCH($B173,'ISD'!$B:$B,0),_xlpm.coluna_uf,MATCH($B$8,'ISD'!$F$4:$AF$4,0),_xlpm.preco_uf,INDEX('ISD'!$F:$AF,_xlpm.linha_insumo,_xlpm.coluna_uf),IF(ISERROR(_xlpm.linha_insumo),"",IF(_xlpm.preco_uf&lt;&gt;0,0%,100%))),
IF(AND($A173="INSUMO",$A$8="COM DESONERAÇÃO"),_xlfn.LET(_xlpm.linha_insumo,MATCH($B173,'ICD'!$B:$B,0),_xlpm.coluna_uf,MATCH($B$8,'ICD'!$F$4:$AF$4,0),_xlpm.preco_uf,INDEX('ICD'!$F:$AF,_xlpm.linha_insumo,_xlpm.coluna_uf),IF(ISERROR(_xlpm.linha_insumo),"",IF(_xlpm.preco_uf&lt;&gt;0,0%,100%))),
IF(AND($A173="INSUMO",$A$8="SEM ENCARGOS SOCIAIS"),_xlfn.LET(_xlpm.linha_insumo,MATCH($B173,'ISE'!$B:$B,0),_xlpm.coluna_uf,MATCH($B$8,'ISE'!$F$10:$AF$10,0),_xlpm.preco_uf,INDEX('ISE'!$F:$AF,_xlpm.linha_insumo,_xlpm.coluna_uf),IF(ISERROR(_xlpm.linha_insumo),"",IF(_xlpm.preco_uf&lt;&gt;0,0%,100%))),
IF(AND($A173="COMPOSICAO",$A$8="SEM DESONERAÇÃO"),_xlfn.XLOOKUP($B173,'CSD'!B:B,OFFSET('CSD'!$D:$D,0,1+MATCH($B$8,'CSD'!$E$4:$BF$4,0)),0),
IF(AND($A173="COMPOSICAO",$A$8="COM DESONERAÇÃO"),_xlfn.XLOOKUP($B173,'CCD'!B:B,OFFSET('CCD'!$D:$D,0,1+MATCH($B$8,'CCD'!$E$4:$BF$4,0)),0),
IF(AND($A173="COMPOSICAO",$A$8="SEM ENCARGOS SOCIAIS"),_xlfn.XLOOKUP($B173,'CSE'!B:B,OFFSET('CSE'!$D:$D,0,1+MATCH($B$8,'CSE'!$E$9:$BF$9,0)),0),""
)))))))</f>
        <v>0</v>
      </c>
    </row>
    <row r="174" spans="6:8">
      <c r="F174" s="19" cm="1">
        <f t="array" ref="F174">IF($A174="","",
IF(AND($A174="INSUMO",$A$8="SEM DESONERAÇÃO"),_xlfn.LET(_xlpm.linha_insumo,MATCH($B174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_xlpm.preco_regional_as,INDEX($M:$M,MATCH($B174&amp;"_"&amp;$B$8,$K:$K,0)),
IF(ISERROR(_xlpm.linha_insumo),0,IF(_xlpm.preco_uf&lt;&gt;0,_xlpm.preco_uf,IF(ISNUMBER(_xlpm.preco_regional_as),_xlpm.preco_regional_as,_xlpm.preco_sp)))),
IF(AND($A174="INSUMO",$A$8="COM DESONERAÇÃO"),_xlfn.LET(_xlpm.linha_insumo,MATCH($B174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_xlpm.preco_regional_as,INDEX($N:$N,MATCH($B174&amp;"_"&amp;$B$8,$K:$K,0)),
IF(ISERROR(_xlpm.linha_insumo),0,IF(_xlpm.preco_uf&lt;&gt;0,_xlpm.preco_uf,IF(ISNUMBER(_xlpm.preco_regional_as),_xlpm.preco_regional_as,_xlpm.preco_sp)))),
IF(AND($A174="INSUMO",$A$8="SEM ENCARGOS SOCIAIS"),_xlfn.LET(_xlpm.linha_insumo,MATCH($B174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_xlpm.preco_regional_as,INDEX($L:$L,MATCH($B174&amp;"_"&amp;$B$8,$K:$K,0)),
IF(ISERROR(_xlpm.linha_insumo),0,IF(_xlpm.preco_uf&lt;&gt;0,_xlpm.preco_uf,IF(ISNUMBER(_xlpm.preco_regional_as),_xlpm.preco_regional_as,_xlpm.preco_sp)))),
IF(AND($A174="COMPOSICAO",$A$8="SEM DESONERAÇÃO"),_xlfn.XLOOKUP($B174,'CSD'!B:B,OFFSET('CSD'!$D:$D,0,MATCH($B$8,'CSD'!$E$4:$BF$4,0)),0),
IF(AND($A174="COMPOSICAO",$A$8="COM DESONERAÇÃO"),_xlfn.XLOOKUP($B174,'CCD'!B:B,OFFSET('CCD'!$D:$D,0,MATCH($B$8,'CCD'!$E$4:$BF$4,0)),0),
IF(AND($A174="COMPOSICAO",$A$8="SEM ENCARGOS SOCIAIS"),_xlfn.XLOOKUP($B174,'CSE'!B:B,OFFSET('CSE'!$D:$D,0,MATCH($B$8,'CSE'!$E$9:$BF$9,0)),0),""
)))))))</f>
        <v>0</v>
      </c>
      <c r="G174" s="19">
        <f>IF($A174="","",TRUNC(E174*F174,2))</f>
        <v>0</v>
      </c>
      <c r="H174" s="20" cm="1">
        <f t="array" ref="H174">IF($A174="","",
IF(AND($A174="INSUMO",$A$8="SEM DESONERAÇÃO"),_xlfn.LET(_xlpm.linha_insumo,MATCH($B174,'ISD'!$B:$B,0),_xlpm.coluna_uf,MATCH($B$8,'ISD'!$F$4:$AF$4,0),_xlpm.preco_uf,INDEX('ISD'!$F:$AF,_xlpm.linha_insumo,_xlpm.coluna_uf),IF(ISERROR(_xlpm.linha_insumo),"",IF(_xlpm.preco_uf&lt;&gt;0,0%,100%))),
IF(AND($A174="INSUMO",$A$8="COM DESONERAÇÃO"),_xlfn.LET(_xlpm.linha_insumo,MATCH($B174,'ICD'!$B:$B,0),_xlpm.coluna_uf,MATCH($B$8,'ICD'!$F$4:$AF$4,0),_xlpm.preco_uf,INDEX('ICD'!$F:$AF,_xlpm.linha_insumo,_xlpm.coluna_uf),IF(ISERROR(_xlpm.linha_insumo),"",IF(_xlpm.preco_uf&lt;&gt;0,0%,100%))),
IF(AND($A174="INSUMO",$A$8="SEM ENCARGOS SOCIAIS"),_xlfn.LET(_xlpm.linha_insumo,MATCH($B174,'ISE'!$B:$B,0),_xlpm.coluna_uf,MATCH($B$8,'ISE'!$F$10:$AF$10,0),_xlpm.preco_uf,INDEX('ISE'!$F:$AF,_xlpm.linha_insumo,_xlpm.coluna_uf),IF(ISERROR(_xlpm.linha_insumo),"",IF(_xlpm.preco_uf&lt;&gt;0,0%,100%))),
IF(AND($A174="COMPOSICAO",$A$8="SEM DESONERAÇÃO"),_xlfn.XLOOKUP($B174,'CSD'!B:B,OFFSET('CSD'!$D:$D,0,1+MATCH($B$8,'CSD'!$E$4:$BF$4,0)),0),
IF(AND($A174="COMPOSICAO",$A$8="COM DESONERAÇÃO"),_xlfn.XLOOKUP($B174,'CCD'!B:B,OFFSET('CCD'!$D:$D,0,1+MATCH($B$8,'CCD'!$E$4:$BF$4,0)),0),
IF(AND($A174="COMPOSICAO",$A$8="SEM ENCARGOS SOCIAIS"),_xlfn.XLOOKUP($B174,'CSE'!B:B,OFFSET('CSE'!$D:$D,0,1+MATCH($B$8,'CSE'!$E$9:$BF$9,0)),0),""
)))))))</f>
        <v>0</v>
      </c>
    </row>
    <row r="175" spans="6:8">
      <c r="F175" s="19" cm="1">
        <f t="array" ref="F175">IF($A175="","",
IF(AND($A175="INSUMO",$A$8="SEM DESONERAÇÃO"),_xlfn.LET(_xlpm.linha_insumo,MATCH($B175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_xlpm.preco_regional_as,INDEX($M:$M,MATCH($B175&amp;"_"&amp;$B$8,$K:$K,0)),
IF(ISERROR(_xlpm.linha_insumo),0,IF(_xlpm.preco_uf&lt;&gt;0,_xlpm.preco_uf,IF(ISNUMBER(_xlpm.preco_regional_as),_xlpm.preco_regional_as,_xlpm.preco_sp)))),
IF(AND($A175="INSUMO",$A$8="COM DESONERAÇÃO"),_xlfn.LET(_xlpm.linha_insumo,MATCH($B175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_xlpm.preco_regional_as,INDEX($N:$N,MATCH($B175&amp;"_"&amp;$B$8,$K:$K,0)),
IF(ISERROR(_xlpm.linha_insumo),0,IF(_xlpm.preco_uf&lt;&gt;0,_xlpm.preco_uf,IF(ISNUMBER(_xlpm.preco_regional_as),_xlpm.preco_regional_as,_xlpm.preco_sp)))),
IF(AND($A175="INSUMO",$A$8="SEM ENCARGOS SOCIAIS"),_xlfn.LET(_xlpm.linha_insumo,MATCH($B175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_xlpm.preco_regional_as,INDEX($L:$L,MATCH($B175&amp;"_"&amp;$B$8,$K:$K,0)),
IF(ISERROR(_xlpm.linha_insumo),0,IF(_xlpm.preco_uf&lt;&gt;0,_xlpm.preco_uf,IF(ISNUMBER(_xlpm.preco_regional_as),_xlpm.preco_regional_as,_xlpm.preco_sp)))),
IF(AND($A175="COMPOSICAO",$A$8="SEM DESONERAÇÃO"),_xlfn.XLOOKUP($B175,'CSD'!B:B,OFFSET('CSD'!$D:$D,0,MATCH($B$8,'CSD'!$E$4:$BF$4,0)),0),
IF(AND($A175="COMPOSICAO",$A$8="COM DESONERAÇÃO"),_xlfn.XLOOKUP($B175,'CCD'!B:B,OFFSET('CCD'!$D:$D,0,MATCH($B$8,'CCD'!$E$4:$BF$4,0)),0),
IF(AND($A175="COMPOSICAO",$A$8="SEM ENCARGOS SOCIAIS"),_xlfn.XLOOKUP($B175,'CSE'!B:B,OFFSET('CSE'!$D:$D,0,MATCH($B$8,'CSE'!$E$9:$BF$9,0)),0),""
)))))))</f>
        <v>0</v>
      </c>
      <c r="G175" s="19">
        <f>IF($A175="","",TRUNC(E175*F175,2))</f>
        <v>0</v>
      </c>
      <c r="H175" s="20" cm="1">
        <f t="array" ref="H175">IF($A175="","",
IF(AND($A175="INSUMO",$A$8="SEM DESONERAÇÃO"),_xlfn.LET(_xlpm.linha_insumo,MATCH($B175,'ISD'!$B:$B,0),_xlpm.coluna_uf,MATCH($B$8,'ISD'!$F$4:$AF$4,0),_xlpm.preco_uf,INDEX('ISD'!$F:$AF,_xlpm.linha_insumo,_xlpm.coluna_uf),IF(ISERROR(_xlpm.linha_insumo),"",IF(_xlpm.preco_uf&lt;&gt;0,0%,100%))),
IF(AND($A175="INSUMO",$A$8="COM DESONERAÇÃO"),_xlfn.LET(_xlpm.linha_insumo,MATCH($B175,'ICD'!$B:$B,0),_xlpm.coluna_uf,MATCH($B$8,'ICD'!$F$4:$AF$4,0),_xlpm.preco_uf,INDEX('ICD'!$F:$AF,_xlpm.linha_insumo,_xlpm.coluna_uf),IF(ISERROR(_xlpm.linha_insumo),"",IF(_xlpm.preco_uf&lt;&gt;0,0%,100%))),
IF(AND($A175="INSUMO",$A$8="SEM ENCARGOS SOCIAIS"),_xlfn.LET(_xlpm.linha_insumo,MATCH($B175,'ISE'!$B:$B,0),_xlpm.coluna_uf,MATCH($B$8,'ISE'!$F$10:$AF$10,0),_xlpm.preco_uf,INDEX('ISE'!$F:$AF,_xlpm.linha_insumo,_xlpm.coluna_uf),IF(ISERROR(_xlpm.linha_insumo),"",IF(_xlpm.preco_uf&lt;&gt;0,0%,100%))),
IF(AND($A175="COMPOSICAO",$A$8="SEM DESONERAÇÃO"),_xlfn.XLOOKUP($B175,'CSD'!B:B,OFFSET('CSD'!$D:$D,0,1+MATCH($B$8,'CSD'!$E$4:$BF$4,0)),0),
IF(AND($A175="COMPOSICAO",$A$8="COM DESONERAÇÃO"),_xlfn.XLOOKUP($B175,'CCD'!B:B,OFFSET('CCD'!$D:$D,0,1+MATCH($B$8,'CCD'!$E$4:$BF$4,0)),0),
IF(AND($A175="COMPOSICAO",$A$8="SEM ENCARGOS SOCIAIS"),_xlfn.XLOOKUP($B175,'CSE'!B:B,OFFSET('CSE'!$D:$D,0,1+MATCH($B$8,'CSE'!$E$9:$BF$9,0)),0),""
)))))))</f>
        <v>0</v>
      </c>
    </row>
    <row r="176" spans="6:8">
      <c r="F176" s="19" cm="1">
        <f t="array" ref="F176">IF($A176="","",
IF(AND($A176="INSUMO",$A$8="SEM DESONERAÇÃO"),_xlfn.LET(_xlpm.linha_insumo,MATCH($B176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_xlpm.preco_regional_as,INDEX($M:$M,MATCH($B176&amp;"_"&amp;$B$8,$K:$K,0)),
IF(ISERROR(_xlpm.linha_insumo),0,IF(_xlpm.preco_uf&lt;&gt;0,_xlpm.preco_uf,IF(ISNUMBER(_xlpm.preco_regional_as),_xlpm.preco_regional_as,_xlpm.preco_sp)))),
IF(AND($A176="INSUMO",$A$8="COM DESONERAÇÃO"),_xlfn.LET(_xlpm.linha_insumo,MATCH($B176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_xlpm.preco_regional_as,INDEX($N:$N,MATCH($B176&amp;"_"&amp;$B$8,$K:$K,0)),
IF(ISERROR(_xlpm.linha_insumo),0,IF(_xlpm.preco_uf&lt;&gt;0,_xlpm.preco_uf,IF(ISNUMBER(_xlpm.preco_regional_as),_xlpm.preco_regional_as,_xlpm.preco_sp)))),
IF(AND($A176="INSUMO",$A$8="SEM ENCARGOS SOCIAIS"),_xlfn.LET(_xlpm.linha_insumo,MATCH($B176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_xlpm.preco_regional_as,INDEX($L:$L,MATCH($B176&amp;"_"&amp;$B$8,$K:$K,0)),
IF(ISERROR(_xlpm.linha_insumo),0,IF(_xlpm.preco_uf&lt;&gt;0,_xlpm.preco_uf,IF(ISNUMBER(_xlpm.preco_regional_as),_xlpm.preco_regional_as,_xlpm.preco_sp)))),
IF(AND($A176="COMPOSICAO",$A$8="SEM DESONERAÇÃO"),_xlfn.XLOOKUP($B176,'CSD'!B:B,OFFSET('CSD'!$D:$D,0,MATCH($B$8,'CSD'!$E$4:$BF$4,0)),0),
IF(AND($A176="COMPOSICAO",$A$8="COM DESONERAÇÃO"),_xlfn.XLOOKUP($B176,'CCD'!B:B,OFFSET('CCD'!$D:$D,0,MATCH($B$8,'CCD'!$E$4:$BF$4,0)),0),
IF(AND($A176="COMPOSICAO",$A$8="SEM ENCARGOS SOCIAIS"),_xlfn.XLOOKUP($B176,'CSE'!B:B,OFFSET('CSE'!$D:$D,0,MATCH($B$8,'CSE'!$E$9:$BF$9,0)),0),""
)))))))</f>
        <v>0</v>
      </c>
      <c r="G176" s="19">
        <f>IF($A176="","",TRUNC(E176*F176,2))</f>
        <v>0</v>
      </c>
      <c r="H176" s="20" cm="1">
        <f t="array" ref="H176">IF($A176="","",
IF(AND($A176="INSUMO",$A$8="SEM DESONERAÇÃO"),_xlfn.LET(_xlpm.linha_insumo,MATCH($B176,'ISD'!$B:$B,0),_xlpm.coluna_uf,MATCH($B$8,'ISD'!$F$4:$AF$4,0),_xlpm.preco_uf,INDEX('ISD'!$F:$AF,_xlpm.linha_insumo,_xlpm.coluna_uf),IF(ISERROR(_xlpm.linha_insumo),"",IF(_xlpm.preco_uf&lt;&gt;0,0%,100%))),
IF(AND($A176="INSUMO",$A$8="COM DESONERAÇÃO"),_xlfn.LET(_xlpm.linha_insumo,MATCH($B176,'ICD'!$B:$B,0),_xlpm.coluna_uf,MATCH($B$8,'ICD'!$F$4:$AF$4,0),_xlpm.preco_uf,INDEX('ICD'!$F:$AF,_xlpm.linha_insumo,_xlpm.coluna_uf),IF(ISERROR(_xlpm.linha_insumo),"",IF(_xlpm.preco_uf&lt;&gt;0,0%,100%))),
IF(AND($A176="INSUMO",$A$8="SEM ENCARGOS SOCIAIS"),_xlfn.LET(_xlpm.linha_insumo,MATCH($B176,'ISE'!$B:$B,0),_xlpm.coluna_uf,MATCH($B$8,'ISE'!$F$10:$AF$10,0),_xlpm.preco_uf,INDEX('ISE'!$F:$AF,_xlpm.linha_insumo,_xlpm.coluna_uf),IF(ISERROR(_xlpm.linha_insumo),"",IF(_xlpm.preco_uf&lt;&gt;0,0%,100%))),
IF(AND($A176="COMPOSICAO",$A$8="SEM DESONERAÇÃO"),_xlfn.XLOOKUP($B176,'CSD'!B:B,OFFSET('CSD'!$D:$D,0,1+MATCH($B$8,'CSD'!$E$4:$BF$4,0)),0),
IF(AND($A176="COMPOSICAO",$A$8="COM DESONERAÇÃO"),_xlfn.XLOOKUP($B176,'CCD'!B:B,OFFSET('CCD'!$D:$D,0,1+MATCH($B$8,'CCD'!$E$4:$BF$4,0)),0),
IF(AND($A176="COMPOSICAO",$A$8="SEM ENCARGOS SOCIAIS"),_xlfn.XLOOKUP($B176,'CSE'!B:B,OFFSET('CSE'!$D:$D,0,1+MATCH($B$8,'CSE'!$E$9:$BF$9,0)),0),""
)))))))</f>
        <v>0</v>
      </c>
    </row>
    <row r="177" spans="6:8">
      <c r="F177" s="19" cm="1">
        <f t="array" ref="F177">IF($A177="","",
IF(AND($A177="INSUMO",$A$8="SEM DESONERAÇÃO"),_xlfn.LET(_xlpm.linha_insumo,MATCH($B177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_xlpm.preco_regional_as,INDEX($M:$M,MATCH($B177&amp;"_"&amp;$B$8,$K:$K,0)),
IF(ISERROR(_xlpm.linha_insumo),0,IF(_xlpm.preco_uf&lt;&gt;0,_xlpm.preco_uf,IF(ISNUMBER(_xlpm.preco_regional_as),_xlpm.preco_regional_as,_xlpm.preco_sp)))),
IF(AND($A177="INSUMO",$A$8="COM DESONERAÇÃO"),_xlfn.LET(_xlpm.linha_insumo,MATCH($B177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_xlpm.preco_regional_as,INDEX($N:$N,MATCH($B177&amp;"_"&amp;$B$8,$K:$K,0)),
IF(ISERROR(_xlpm.linha_insumo),0,IF(_xlpm.preco_uf&lt;&gt;0,_xlpm.preco_uf,IF(ISNUMBER(_xlpm.preco_regional_as),_xlpm.preco_regional_as,_xlpm.preco_sp)))),
IF(AND($A177="INSUMO",$A$8="SEM ENCARGOS SOCIAIS"),_xlfn.LET(_xlpm.linha_insumo,MATCH($B177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_xlpm.preco_regional_as,INDEX($L:$L,MATCH($B177&amp;"_"&amp;$B$8,$K:$K,0)),
IF(ISERROR(_xlpm.linha_insumo),0,IF(_xlpm.preco_uf&lt;&gt;0,_xlpm.preco_uf,IF(ISNUMBER(_xlpm.preco_regional_as),_xlpm.preco_regional_as,_xlpm.preco_sp)))),
IF(AND($A177="COMPOSICAO",$A$8="SEM DESONERAÇÃO"),_xlfn.XLOOKUP($B177,'CSD'!B:B,OFFSET('CSD'!$D:$D,0,MATCH($B$8,'CSD'!$E$4:$BF$4,0)),0),
IF(AND($A177="COMPOSICAO",$A$8="COM DESONERAÇÃO"),_xlfn.XLOOKUP($B177,'CCD'!B:B,OFFSET('CCD'!$D:$D,0,MATCH($B$8,'CCD'!$E$4:$BF$4,0)),0),
IF(AND($A177="COMPOSICAO",$A$8="SEM ENCARGOS SOCIAIS"),_xlfn.XLOOKUP($B177,'CSE'!B:B,OFFSET('CSE'!$D:$D,0,MATCH($B$8,'CSE'!$E$9:$BF$9,0)),0),""
)))))))</f>
        <v>0</v>
      </c>
      <c r="G177" s="19">
        <f>IF($A177="","",TRUNC(E177*F177,2))</f>
        <v>0</v>
      </c>
      <c r="H177" s="20" cm="1">
        <f t="array" ref="H177">IF($A177="","",
IF(AND($A177="INSUMO",$A$8="SEM DESONERAÇÃO"),_xlfn.LET(_xlpm.linha_insumo,MATCH($B177,'ISD'!$B:$B,0),_xlpm.coluna_uf,MATCH($B$8,'ISD'!$F$4:$AF$4,0),_xlpm.preco_uf,INDEX('ISD'!$F:$AF,_xlpm.linha_insumo,_xlpm.coluna_uf),IF(ISERROR(_xlpm.linha_insumo),"",IF(_xlpm.preco_uf&lt;&gt;0,0%,100%))),
IF(AND($A177="INSUMO",$A$8="COM DESONERAÇÃO"),_xlfn.LET(_xlpm.linha_insumo,MATCH($B177,'ICD'!$B:$B,0),_xlpm.coluna_uf,MATCH($B$8,'ICD'!$F$4:$AF$4,0),_xlpm.preco_uf,INDEX('ICD'!$F:$AF,_xlpm.linha_insumo,_xlpm.coluna_uf),IF(ISERROR(_xlpm.linha_insumo),"",IF(_xlpm.preco_uf&lt;&gt;0,0%,100%))),
IF(AND($A177="INSUMO",$A$8="SEM ENCARGOS SOCIAIS"),_xlfn.LET(_xlpm.linha_insumo,MATCH($B177,'ISE'!$B:$B,0),_xlpm.coluna_uf,MATCH($B$8,'ISE'!$F$10:$AF$10,0),_xlpm.preco_uf,INDEX('ISE'!$F:$AF,_xlpm.linha_insumo,_xlpm.coluna_uf),IF(ISERROR(_xlpm.linha_insumo),"",IF(_xlpm.preco_uf&lt;&gt;0,0%,100%))),
IF(AND($A177="COMPOSICAO",$A$8="SEM DESONERAÇÃO"),_xlfn.XLOOKUP($B177,'CSD'!B:B,OFFSET('CSD'!$D:$D,0,1+MATCH($B$8,'CSD'!$E$4:$BF$4,0)),0),
IF(AND($A177="COMPOSICAO",$A$8="COM DESONERAÇÃO"),_xlfn.XLOOKUP($B177,'CCD'!B:B,OFFSET('CCD'!$D:$D,0,1+MATCH($B$8,'CCD'!$E$4:$BF$4,0)),0),
IF(AND($A177="COMPOSICAO",$A$8="SEM ENCARGOS SOCIAIS"),_xlfn.XLOOKUP($B177,'CSE'!B:B,OFFSET('CSE'!$D:$D,0,1+MATCH($B$8,'CSE'!$E$9:$BF$9,0)),0),""
)))))))</f>
        <v>0</v>
      </c>
    </row>
    <row r="178" spans="6:8">
      <c r="F178" s="19" cm="1">
        <f t="array" ref="F178">IF($A178="","",
IF(AND($A178="INSUMO",$A$8="SEM DESONERAÇÃO"),_xlfn.LET(_xlpm.linha_insumo,MATCH($B178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_xlpm.preco_regional_as,INDEX($M:$M,MATCH($B178&amp;"_"&amp;$B$8,$K:$K,0)),
IF(ISERROR(_xlpm.linha_insumo),0,IF(_xlpm.preco_uf&lt;&gt;0,_xlpm.preco_uf,IF(ISNUMBER(_xlpm.preco_regional_as),_xlpm.preco_regional_as,_xlpm.preco_sp)))),
IF(AND($A178="INSUMO",$A$8="COM DESONERAÇÃO"),_xlfn.LET(_xlpm.linha_insumo,MATCH($B178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_xlpm.preco_regional_as,INDEX($N:$N,MATCH($B178&amp;"_"&amp;$B$8,$K:$K,0)),
IF(ISERROR(_xlpm.linha_insumo),0,IF(_xlpm.preco_uf&lt;&gt;0,_xlpm.preco_uf,IF(ISNUMBER(_xlpm.preco_regional_as),_xlpm.preco_regional_as,_xlpm.preco_sp)))),
IF(AND($A178="INSUMO",$A$8="SEM ENCARGOS SOCIAIS"),_xlfn.LET(_xlpm.linha_insumo,MATCH($B178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_xlpm.preco_regional_as,INDEX($L:$L,MATCH($B178&amp;"_"&amp;$B$8,$K:$K,0)),
IF(ISERROR(_xlpm.linha_insumo),0,IF(_xlpm.preco_uf&lt;&gt;0,_xlpm.preco_uf,IF(ISNUMBER(_xlpm.preco_regional_as),_xlpm.preco_regional_as,_xlpm.preco_sp)))),
IF(AND($A178="COMPOSICAO",$A$8="SEM DESONERAÇÃO"),_xlfn.XLOOKUP($B178,'CSD'!B:B,OFFSET('CSD'!$D:$D,0,MATCH($B$8,'CSD'!$E$4:$BF$4,0)),0),
IF(AND($A178="COMPOSICAO",$A$8="COM DESONERAÇÃO"),_xlfn.XLOOKUP($B178,'CCD'!B:B,OFFSET('CCD'!$D:$D,0,MATCH($B$8,'CCD'!$E$4:$BF$4,0)),0),
IF(AND($A178="COMPOSICAO",$A$8="SEM ENCARGOS SOCIAIS"),_xlfn.XLOOKUP($B178,'CSE'!B:B,OFFSET('CSE'!$D:$D,0,MATCH($B$8,'CSE'!$E$9:$BF$9,0)),0),""
)))))))</f>
        <v>0</v>
      </c>
      <c r="G178" s="19">
        <f>IF($A178="","",TRUNC(E178*F178,2))</f>
        <v>0</v>
      </c>
      <c r="H178" s="20" cm="1">
        <f t="array" ref="H178">IF($A178="","",
IF(AND($A178="INSUMO",$A$8="SEM DESONERAÇÃO"),_xlfn.LET(_xlpm.linha_insumo,MATCH($B178,'ISD'!$B:$B,0),_xlpm.coluna_uf,MATCH($B$8,'ISD'!$F$4:$AF$4,0),_xlpm.preco_uf,INDEX('ISD'!$F:$AF,_xlpm.linha_insumo,_xlpm.coluna_uf),IF(ISERROR(_xlpm.linha_insumo),"",IF(_xlpm.preco_uf&lt;&gt;0,0%,100%))),
IF(AND($A178="INSUMO",$A$8="COM DESONERAÇÃO"),_xlfn.LET(_xlpm.linha_insumo,MATCH($B178,'ICD'!$B:$B,0),_xlpm.coluna_uf,MATCH($B$8,'ICD'!$F$4:$AF$4,0),_xlpm.preco_uf,INDEX('ICD'!$F:$AF,_xlpm.linha_insumo,_xlpm.coluna_uf),IF(ISERROR(_xlpm.linha_insumo),"",IF(_xlpm.preco_uf&lt;&gt;0,0%,100%))),
IF(AND($A178="INSUMO",$A$8="SEM ENCARGOS SOCIAIS"),_xlfn.LET(_xlpm.linha_insumo,MATCH($B178,'ISE'!$B:$B,0),_xlpm.coluna_uf,MATCH($B$8,'ISE'!$F$10:$AF$10,0),_xlpm.preco_uf,INDEX('ISE'!$F:$AF,_xlpm.linha_insumo,_xlpm.coluna_uf),IF(ISERROR(_xlpm.linha_insumo),"",IF(_xlpm.preco_uf&lt;&gt;0,0%,100%))),
IF(AND($A178="COMPOSICAO",$A$8="SEM DESONERAÇÃO"),_xlfn.XLOOKUP($B178,'CSD'!B:B,OFFSET('CSD'!$D:$D,0,1+MATCH($B$8,'CSD'!$E$4:$BF$4,0)),0),
IF(AND($A178="COMPOSICAO",$A$8="COM DESONERAÇÃO"),_xlfn.XLOOKUP($B178,'CCD'!B:B,OFFSET('CCD'!$D:$D,0,1+MATCH($B$8,'CCD'!$E$4:$BF$4,0)),0),
IF(AND($A178="COMPOSICAO",$A$8="SEM ENCARGOS SOCIAIS"),_xlfn.XLOOKUP($B178,'CSE'!B:B,OFFSET('CSE'!$D:$D,0,1+MATCH($B$8,'CSE'!$E$9:$BF$9,0)),0),""
)))))))</f>
        <v>0</v>
      </c>
    </row>
    <row r="179" spans="6:8">
      <c r="F179" s="19" cm="1">
        <f t="array" ref="F179">IF($A179="","",
IF(AND($A179="INSUMO",$A$8="SEM DESONERAÇÃO"),_xlfn.LET(_xlpm.linha_insumo,MATCH($B179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_xlpm.preco_regional_as,INDEX($M:$M,MATCH($B179&amp;"_"&amp;$B$8,$K:$K,0)),
IF(ISERROR(_xlpm.linha_insumo),0,IF(_xlpm.preco_uf&lt;&gt;0,_xlpm.preco_uf,IF(ISNUMBER(_xlpm.preco_regional_as),_xlpm.preco_regional_as,_xlpm.preco_sp)))),
IF(AND($A179="INSUMO",$A$8="COM DESONERAÇÃO"),_xlfn.LET(_xlpm.linha_insumo,MATCH($B179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_xlpm.preco_regional_as,INDEX($N:$N,MATCH($B179&amp;"_"&amp;$B$8,$K:$K,0)),
IF(ISERROR(_xlpm.linha_insumo),0,IF(_xlpm.preco_uf&lt;&gt;0,_xlpm.preco_uf,IF(ISNUMBER(_xlpm.preco_regional_as),_xlpm.preco_regional_as,_xlpm.preco_sp)))),
IF(AND($A179="INSUMO",$A$8="SEM ENCARGOS SOCIAIS"),_xlfn.LET(_xlpm.linha_insumo,MATCH($B179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_xlpm.preco_regional_as,INDEX($L:$L,MATCH($B179&amp;"_"&amp;$B$8,$K:$K,0)),
IF(ISERROR(_xlpm.linha_insumo),0,IF(_xlpm.preco_uf&lt;&gt;0,_xlpm.preco_uf,IF(ISNUMBER(_xlpm.preco_regional_as),_xlpm.preco_regional_as,_xlpm.preco_sp)))),
IF(AND($A179="COMPOSICAO",$A$8="SEM DESONERAÇÃO"),_xlfn.XLOOKUP($B179,'CSD'!B:B,OFFSET('CSD'!$D:$D,0,MATCH($B$8,'CSD'!$E$4:$BF$4,0)),0),
IF(AND($A179="COMPOSICAO",$A$8="COM DESONERAÇÃO"),_xlfn.XLOOKUP($B179,'CCD'!B:B,OFFSET('CCD'!$D:$D,0,MATCH($B$8,'CCD'!$E$4:$BF$4,0)),0),
IF(AND($A179="COMPOSICAO",$A$8="SEM ENCARGOS SOCIAIS"),_xlfn.XLOOKUP($B179,'CSE'!B:B,OFFSET('CSE'!$D:$D,0,MATCH($B$8,'CSE'!$E$9:$BF$9,0)),0),""
)))))))</f>
        <v>0</v>
      </c>
      <c r="G179" s="19">
        <f>IF($A179="","",TRUNC(E179*F179,2))</f>
        <v>0</v>
      </c>
      <c r="H179" s="20" cm="1">
        <f t="array" ref="H179">IF($A179="","",
IF(AND($A179="INSUMO",$A$8="SEM DESONERAÇÃO"),_xlfn.LET(_xlpm.linha_insumo,MATCH($B179,'ISD'!$B:$B,0),_xlpm.coluna_uf,MATCH($B$8,'ISD'!$F$4:$AF$4,0),_xlpm.preco_uf,INDEX('ISD'!$F:$AF,_xlpm.linha_insumo,_xlpm.coluna_uf),IF(ISERROR(_xlpm.linha_insumo),"",IF(_xlpm.preco_uf&lt;&gt;0,0%,100%))),
IF(AND($A179="INSUMO",$A$8="COM DESONERAÇÃO"),_xlfn.LET(_xlpm.linha_insumo,MATCH($B179,'ICD'!$B:$B,0),_xlpm.coluna_uf,MATCH($B$8,'ICD'!$F$4:$AF$4,0),_xlpm.preco_uf,INDEX('ICD'!$F:$AF,_xlpm.linha_insumo,_xlpm.coluna_uf),IF(ISERROR(_xlpm.linha_insumo),"",IF(_xlpm.preco_uf&lt;&gt;0,0%,100%))),
IF(AND($A179="INSUMO",$A$8="SEM ENCARGOS SOCIAIS"),_xlfn.LET(_xlpm.linha_insumo,MATCH($B179,'ISE'!$B:$B,0),_xlpm.coluna_uf,MATCH($B$8,'ISE'!$F$10:$AF$10,0),_xlpm.preco_uf,INDEX('ISE'!$F:$AF,_xlpm.linha_insumo,_xlpm.coluna_uf),IF(ISERROR(_xlpm.linha_insumo),"",IF(_xlpm.preco_uf&lt;&gt;0,0%,100%))),
IF(AND($A179="COMPOSICAO",$A$8="SEM DESONERAÇÃO"),_xlfn.XLOOKUP($B179,'CSD'!B:B,OFFSET('CSD'!$D:$D,0,1+MATCH($B$8,'CSD'!$E$4:$BF$4,0)),0),
IF(AND($A179="COMPOSICAO",$A$8="COM DESONERAÇÃO"),_xlfn.XLOOKUP($B179,'CCD'!B:B,OFFSET('CCD'!$D:$D,0,1+MATCH($B$8,'CCD'!$E$4:$BF$4,0)),0),
IF(AND($A179="COMPOSICAO",$A$8="SEM ENCARGOS SOCIAIS"),_xlfn.XLOOKUP($B179,'CSE'!B:B,OFFSET('CSE'!$D:$D,0,1+MATCH($B$8,'CSE'!$E$9:$BF$9,0)),0),""
)))))))</f>
        <v>0</v>
      </c>
    </row>
    <row r="180" spans="6:8">
      <c r="F180" s="19" cm="1">
        <f t="array" ref="F180">IF($A180="","",
IF(AND($A180="INSUMO",$A$8="SEM DESONERAÇÃO"),_xlfn.LET(_xlpm.linha_insumo,MATCH($B180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_xlpm.preco_regional_as,INDEX($M:$M,MATCH($B180&amp;"_"&amp;$B$8,$K:$K,0)),
IF(ISERROR(_xlpm.linha_insumo),0,IF(_xlpm.preco_uf&lt;&gt;0,_xlpm.preco_uf,IF(ISNUMBER(_xlpm.preco_regional_as),_xlpm.preco_regional_as,_xlpm.preco_sp)))),
IF(AND($A180="INSUMO",$A$8="COM DESONERAÇÃO"),_xlfn.LET(_xlpm.linha_insumo,MATCH($B180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_xlpm.preco_regional_as,INDEX($N:$N,MATCH($B180&amp;"_"&amp;$B$8,$K:$K,0)),
IF(ISERROR(_xlpm.linha_insumo),0,IF(_xlpm.preco_uf&lt;&gt;0,_xlpm.preco_uf,IF(ISNUMBER(_xlpm.preco_regional_as),_xlpm.preco_regional_as,_xlpm.preco_sp)))),
IF(AND($A180="INSUMO",$A$8="SEM ENCARGOS SOCIAIS"),_xlfn.LET(_xlpm.linha_insumo,MATCH($B180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_xlpm.preco_regional_as,INDEX($L:$L,MATCH($B180&amp;"_"&amp;$B$8,$K:$K,0)),
IF(ISERROR(_xlpm.linha_insumo),0,IF(_xlpm.preco_uf&lt;&gt;0,_xlpm.preco_uf,IF(ISNUMBER(_xlpm.preco_regional_as),_xlpm.preco_regional_as,_xlpm.preco_sp)))),
IF(AND($A180="COMPOSICAO",$A$8="SEM DESONERAÇÃO"),_xlfn.XLOOKUP($B180,'CSD'!B:B,OFFSET('CSD'!$D:$D,0,MATCH($B$8,'CSD'!$E$4:$BF$4,0)),0),
IF(AND($A180="COMPOSICAO",$A$8="COM DESONERAÇÃO"),_xlfn.XLOOKUP($B180,'CCD'!B:B,OFFSET('CCD'!$D:$D,0,MATCH($B$8,'CCD'!$E$4:$BF$4,0)),0),
IF(AND($A180="COMPOSICAO",$A$8="SEM ENCARGOS SOCIAIS"),_xlfn.XLOOKUP($B180,'CSE'!B:B,OFFSET('CSE'!$D:$D,0,MATCH($B$8,'CSE'!$E$9:$BF$9,0)),0),""
)))))))</f>
        <v>0</v>
      </c>
      <c r="G180" s="19">
        <f>IF($A180="","",TRUNC(E180*F180,2))</f>
        <v>0</v>
      </c>
      <c r="H180" s="20" cm="1">
        <f t="array" ref="H180">IF($A180="","",
IF(AND($A180="INSUMO",$A$8="SEM DESONERAÇÃO"),_xlfn.LET(_xlpm.linha_insumo,MATCH($B180,'ISD'!$B:$B,0),_xlpm.coluna_uf,MATCH($B$8,'ISD'!$F$4:$AF$4,0),_xlpm.preco_uf,INDEX('ISD'!$F:$AF,_xlpm.linha_insumo,_xlpm.coluna_uf),IF(ISERROR(_xlpm.linha_insumo),"",IF(_xlpm.preco_uf&lt;&gt;0,0%,100%))),
IF(AND($A180="INSUMO",$A$8="COM DESONERAÇÃO"),_xlfn.LET(_xlpm.linha_insumo,MATCH($B180,'ICD'!$B:$B,0),_xlpm.coluna_uf,MATCH($B$8,'ICD'!$F$4:$AF$4,0),_xlpm.preco_uf,INDEX('ICD'!$F:$AF,_xlpm.linha_insumo,_xlpm.coluna_uf),IF(ISERROR(_xlpm.linha_insumo),"",IF(_xlpm.preco_uf&lt;&gt;0,0%,100%))),
IF(AND($A180="INSUMO",$A$8="SEM ENCARGOS SOCIAIS"),_xlfn.LET(_xlpm.linha_insumo,MATCH($B180,'ISE'!$B:$B,0),_xlpm.coluna_uf,MATCH($B$8,'ISE'!$F$10:$AF$10,0),_xlpm.preco_uf,INDEX('ISE'!$F:$AF,_xlpm.linha_insumo,_xlpm.coluna_uf),IF(ISERROR(_xlpm.linha_insumo),"",IF(_xlpm.preco_uf&lt;&gt;0,0%,100%))),
IF(AND($A180="COMPOSICAO",$A$8="SEM DESONERAÇÃO"),_xlfn.XLOOKUP($B180,'CSD'!B:B,OFFSET('CSD'!$D:$D,0,1+MATCH($B$8,'CSD'!$E$4:$BF$4,0)),0),
IF(AND($A180="COMPOSICAO",$A$8="COM DESONERAÇÃO"),_xlfn.XLOOKUP($B180,'CCD'!B:B,OFFSET('CCD'!$D:$D,0,1+MATCH($B$8,'CCD'!$E$4:$BF$4,0)),0),
IF(AND($A180="COMPOSICAO",$A$8="SEM ENCARGOS SOCIAIS"),_xlfn.XLOOKUP($B180,'CSE'!B:B,OFFSET('CSE'!$D:$D,0,1+MATCH($B$8,'CSE'!$E$9:$BF$9,0)),0),""
)))))))</f>
        <v>0</v>
      </c>
    </row>
    <row r="181" spans="6:8">
      <c r="F181" s="19" cm="1">
        <f t="array" ref="F181">IF($A181="","",
IF(AND($A181="INSUMO",$A$8="SEM DESONERAÇÃO"),_xlfn.LET(_xlpm.linha_insumo,MATCH($B181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_xlpm.preco_regional_as,INDEX($M:$M,MATCH($B181&amp;"_"&amp;$B$8,$K:$K,0)),
IF(ISERROR(_xlpm.linha_insumo),0,IF(_xlpm.preco_uf&lt;&gt;0,_xlpm.preco_uf,IF(ISNUMBER(_xlpm.preco_regional_as),_xlpm.preco_regional_as,_xlpm.preco_sp)))),
IF(AND($A181="INSUMO",$A$8="COM DESONERAÇÃO"),_xlfn.LET(_xlpm.linha_insumo,MATCH($B181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_xlpm.preco_regional_as,INDEX($N:$N,MATCH($B181&amp;"_"&amp;$B$8,$K:$K,0)),
IF(ISERROR(_xlpm.linha_insumo),0,IF(_xlpm.preco_uf&lt;&gt;0,_xlpm.preco_uf,IF(ISNUMBER(_xlpm.preco_regional_as),_xlpm.preco_regional_as,_xlpm.preco_sp)))),
IF(AND($A181="INSUMO",$A$8="SEM ENCARGOS SOCIAIS"),_xlfn.LET(_xlpm.linha_insumo,MATCH($B181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_xlpm.preco_regional_as,INDEX($L:$L,MATCH($B181&amp;"_"&amp;$B$8,$K:$K,0)),
IF(ISERROR(_xlpm.linha_insumo),0,IF(_xlpm.preco_uf&lt;&gt;0,_xlpm.preco_uf,IF(ISNUMBER(_xlpm.preco_regional_as),_xlpm.preco_regional_as,_xlpm.preco_sp)))),
IF(AND($A181="COMPOSICAO",$A$8="SEM DESONERAÇÃO"),_xlfn.XLOOKUP($B181,'CSD'!B:B,OFFSET('CSD'!$D:$D,0,MATCH($B$8,'CSD'!$E$4:$BF$4,0)),0),
IF(AND($A181="COMPOSICAO",$A$8="COM DESONERAÇÃO"),_xlfn.XLOOKUP($B181,'CCD'!B:B,OFFSET('CCD'!$D:$D,0,MATCH($B$8,'CCD'!$E$4:$BF$4,0)),0),
IF(AND($A181="COMPOSICAO",$A$8="SEM ENCARGOS SOCIAIS"),_xlfn.XLOOKUP($B181,'CSE'!B:B,OFFSET('CSE'!$D:$D,0,MATCH($B$8,'CSE'!$E$9:$BF$9,0)),0),""
)))))))</f>
        <v>0</v>
      </c>
      <c r="G181" s="19">
        <f>IF($A181="","",TRUNC(E181*F181,2))</f>
        <v>0</v>
      </c>
      <c r="H181" s="20" cm="1">
        <f t="array" ref="H181">IF($A181="","",
IF(AND($A181="INSUMO",$A$8="SEM DESONERAÇÃO"),_xlfn.LET(_xlpm.linha_insumo,MATCH($B181,'ISD'!$B:$B,0),_xlpm.coluna_uf,MATCH($B$8,'ISD'!$F$4:$AF$4,0),_xlpm.preco_uf,INDEX('ISD'!$F:$AF,_xlpm.linha_insumo,_xlpm.coluna_uf),IF(ISERROR(_xlpm.linha_insumo),"",IF(_xlpm.preco_uf&lt;&gt;0,0%,100%))),
IF(AND($A181="INSUMO",$A$8="COM DESONERAÇÃO"),_xlfn.LET(_xlpm.linha_insumo,MATCH($B181,'ICD'!$B:$B,0),_xlpm.coluna_uf,MATCH($B$8,'ICD'!$F$4:$AF$4,0),_xlpm.preco_uf,INDEX('ICD'!$F:$AF,_xlpm.linha_insumo,_xlpm.coluna_uf),IF(ISERROR(_xlpm.linha_insumo),"",IF(_xlpm.preco_uf&lt;&gt;0,0%,100%))),
IF(AND($A181="INSUMO",$A$8="SEM ENCARGOS SOCIAIS"),_xlfn.LET(_xlpm.linha_insumo,MATCH($B181,'ISE'!$B:$B,0),_xlpm.coluna_uf,MATCH($B$8,'ISE'!$F$10:$AF$10,0),_xlpm.preco_uf,INDEX('ISE'!$F:$AF,_xlpm.linha_insumo,_xlpm.coluna_uf),IF(ISERROR(_xlpm.linha_insumo),"",IF(_xlpm.preco_uf&lt;&gt;0,0%,100%))),
IF(AND($A181="COMPOSICAO",$A$8="SEM DESONERAÇÃO"),_xlfn.XLOOKUP($B181,'CSD'!B:B,OFFSET('CSD'!$D:$D,0,1+MATCH($B$8,'CSD'!$E$4:$BF$4,0)),0),
IF(AND($A181="COMPOSICAO",$A$8="COM DESONERAÇÃO"),_xlfn.XLOOKUP($B181,'CCD'!B:B,OFFSET('CCD'!$D:$D,0,1+MATCH($B$8,'CCD'!$E$4:$BF$4,0)),0),
IF(AND($A181="COMPOSICAO",$A$8="SEM ENCARGOS SOCIAIS"),_xlfn.XLOOKUP($B181,'CSE'!B:B,OFFSET('CSE'!$D:$D,0,1+MATCH($B$8,'CSE'!$E$9:$BF$9,0)),0),""
)))))))</f>
        <v>0</v>
      </c>
    </row>
    <row r="182" spans="6:8">
      <c r="F182" s="19" cm="1">
        <f t="array" ref="F182">IF($A182="","",
IF(AND($A182="INSUMO",$A$8="SEM DESONERAÇÃO"),_xlfn.LET(_xlpm.linha_insumo,MATCH($B182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_xlpm.preco_regional_as,INDEX($M:$M,MATCH($B182&amp;"_"&amp;$B$8,$K:$K,0)),
IF(ISERROR(_xlpm.linha_insumo),0,IF(_xlpm.preco_uf&lt;&gt;0,_xlpm.preco_uf,IF(ISNUMBER(_xlpm.preco_regional_as),_xlpm.preco_regional_as,_xlpm.preco_sp)))),
IF(AND($A182="INSUMO",$A$8="COM DESONERAÇÃO"),_xlfn.LET(_xlpm.linha_insumo,MATCH($B182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_xlpm.preco_regional_as,INDEX($N:$N,MATCH($B182&amp;"_"&amp;$B$8,$K:$K,0)),
IF(ISERROR(_xlpm.linha_insumo),0,IF(_xlpm.preco_uf&lt;&gt;0,_xlpm.preco_uf,IF(ISNUMBER(_xlpm.preco_regional_as),_xlpm.preco_regional_as,_xlpm.preco_sp)))),
IF(AND($A182="INSUMO",$A$8="SEM ENCARGOS SOCIAIS"),_xlfn.LET(_xlpm.linha_insumo,MATCH($B182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_xlpm.preco_regional_as,INDEX($L:$L,MATCH($B182&amp;"_"&amp;$B$8,$K:$K,0)),
IF(ISERROR(_xlpm.linha_insumo),0,IF(_xlpm.preco_uf&lt;&gt;0,_xlpm.preco_uf,IF(ISNUMBER(_xlpm.preco_regional_as),_xlpm.preco_regional_as,_xlpm.preco_sp)))),
IF(AND($A182="COMPOSICAO",$A$8="SEM DESONERAÇÃO"),_xlfn.XLOOKUP($B182,'CSD'!B:B,OFFSET('CSD'!$D:$D,0,MATCH($B$8,'CSD'!$E$4:$BF$4,0)),0),
IF(AND($A182="COMPOSICAO",$A$8="COM DESONERAÇÃO"),_xlfn.XLOOKUP($B182,'CCD'!B:B,OFFSET('CCD'!$D:$D,0,MATCH($B$8,'CCD'!$E$4:$BF$4,0)),0),
IF(AND($A182="COMPOSICAO",$A$8="SEM ENCARGOS SOCIAIS"),_xlfn.XLOOKUP($B182,'CSE'!B:B,OFFSET('CSE'!$D:$D,0,MATCH($B$8,'CSE'!$E$9:$BF$9,0)),0),""
)))))))</f>
        <v>0</v>
      </c>
      <c r="G182" s="19">
        <f>IF($A182="","",TRUNC(E182*F182,2))</f>
        <v>0</v>
      </c>
      <c r="H182" s="20" cm="1">
        <f t="array" ref="H182">IF($A182="","",
IF(AND($A182="INSUMO",$A$8="SEM DESONERAÇÃO"),_xlfn.LET(_xlpm.linha_insumo,MATCH($B182,'ISD'!$B:$B,0),_xlpm.coluna_uf,MATCH($B$8,'ISD'!$F$4:$AF$4,0),_xlpm.preco_uf,INDEX('ISD'!$F:$AF,_xlpm.linha_insumo,_xlpm.coluna_uf),IF(ISERROR(_xlpm.linha_insumo),"",IF(_xlpm.preco_uf&lt;&gt;0,0%,100%))),
IF(AND($A182="INSUMO",$A$8="COM DESONERAÇÃO"),_xlfn.LET(_xlpm.linha_insumo,MATCH($B182,'ICD'!$B:$B,0),_xlpm.coluna_uf,MATCH($B$8,'ICD'!$F$4:$AF$4,0),_xlpm.preco_uf,INDEX('ICD'!$F:$AF,_xlpm.linha_insumo,_xlpm.coluna_uf),IF(ISERROR(_xlpm.linha_insumo),"",IF(_xlpm.preco_uf&lt;&gt;0,0%,100%))),
IF(AND($A182="INSUMO",$A$8="SEM ENCARGOS SOCIAIS"),_xlfn.LET(_xlpm.linha_insumo,MATCH($B182,'ISE'!$B:$B,0),_xlpm.coluna_uf,MATCH($B$8,'ISE'!$F$10:$AF$10,0),_xlpm.preco_uf,INDEX('ISE'!$F:$AF,_xlpm.linha_insumo,_xlpm.coluna_uf),IF(ISERROR(_xlpm.linha_insumo),"",IF(_xlpm.preco_uf&lt;&gt;0,0%,100%))),
IF(AND($A182="COMPOSICAO",$A$8="SEM DESONERAÇÃO"),_xlfn.XLOOKUP($B182,'CSD'!B:B,OFFSET('CSD'!$D:$D,0,1+MATCH($B$8,'CSD'!$E$4:$BF$4,0)),0),
IF(AND($A182="COMPOSICAO",$A$8="COM DESONERAÇÃO"),_xlfn.XLOOKUP($B182,'CCD'!B:B,OFFSET('CCD'!$D:$D,0,1+MATCH($B$8,'CCD'!$E$4:$BF$4,0)),0),
IF(AND($A182="COMPOSICAO",$A$8="SEM ENCARGOS SOCIAIS"),_xlfn.XLOOKUP($B182,'CSE'!B:B,OFFSET('CSE'!$D:$D,0,1+MATCH($B$8,'CSE'!$E$9:$BF$9,0)),0),""
)))))))</f>
        <v>0</v>
      </c>
    </row>
    <row r="183" spans="6:8">
      <c r="F183" s="19" cm="1">
        <f t="array" ref="F183">IF($A183="","",
IF(AND($A183="INSUMO",$A$8="SEM DESONERAÇÃO"),_xlfn.LET(_xlpm.linha_insumo,MATCH($B183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_xlpm.preco_regional_as,INDEX($M:$M,MATCH($B183&amp;"_"&amp;$B$8,$K:$K,0)),
IF(ISERROR(_xlpm.linha_insumo),0,IF(_xlpm.preco_uf&lt;&gt;0,_xlpm.preco_uf,IF(ISNUMBER(_xlpm.preco_regional_as),_xlpm.preco_regional_as,_xlpm.preco_sp)))),
IF(AND($A183="INSUMO",$A$8="COM DESONERAÇÃO"),_xlfn.LET(_xlpm.linha_insumo,MATCH($B183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_xlpm.preco_regional_as,INDEX($N:$N,MATCH($B183&amp;"_"&amp;$B$8,$K:$K,0)),
IF(ISERROR(_xlpm.linha_insumo),0,IF(_xlpm.preco_uf&lt;&gt;0,_xlpm.preco_uf,IF(ISNUMBER(_xlpm.preco_regional_as),_xlpm.preco_regional_as,_xlpm.preco_sp)))),
IF(AND($A183="INSUMO",$A$8="SEM ENCARGOS SOCIAIS"),_xlfn.LET(_xlpm.linha_insumo,MATCH($B183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_xlpm.preco_regional_as,INDEX($L:$L,MATCH($B183&amp;"_"&amp;$B$8,$K:$K,0)),
IF(ISERROR(_xlpm.linha_insumo),0,IF(_xlpm.preco_uf&lt;&gt;0,_xlpm.preco_uf,IF(ISNUMBER(_xlpm.preco_regional_as),_xlpm.preco_regional_as,_xlpm.preco_sp)))),
IF(AND($A183="COMPOSICAO",$A$8="SEM DESONERAÇÃO"),_xlfn.XLOOKUP($B183,'CSD'!B:B,OFFSET('CSD'!$D:$D,0,MATCH($B$8,'CSD'!$E$4:$BF$4,0)),0),
IF(AND($A183="COMPOSICAO",$A$8="COM DESONERAÇÃO"),_xlfn.XLOOKUP($B183,'CCD'!B:B,OFFSET('CCD'!$D:$D,0,MATCH($B$8,'CCD'!$E$4:$BF$4,0)),0),
IF(AND($A183="COMPOSICAO",$A$8="SEM ENCARGOS SOCIAIS"),_xlfn.XLOOKUP($B183,'CSE'!B:B,OFFSET('CSE'!$D:$D,0,MATCH($B$8,'CSE'!$E$9:$BF$9,0)),0),""
)))))))</f>
        <v>0</v>
      </c>
      <c r="G183" s="19">
        <f>IF($A183="","",TRUNC(E183*F183,2))</f>
        <v>0</v>
      </c>
      <c r="H183" s="20" cm="1">
        <f t="array" ref="H183">IF($A183="","",
IF(AND($A183="INSUMO",$A$8="SEM DESONERAÇÃO"),_xlfn.LET(_xlpm.linha_insumo,MATCH($B183,'ISD'!$B:$B,0),_xlpm.coluna_uf,MATCH($B$8,'ISD'!$F$4:$AF$4,0),_xlpm.preco_uf,INDEX('ISD'!$F:$AF,_xlpm.linha_insumo,_xlpm.coluna_uf),IF(ISERROR(_xlpm.linha_insumo),"",IF(_xlpm.preco_uf&lt;&gt;0,0%,100%))),
IF(AND($A183="INSUMO",$A$8="COM DESONERAÇÃO"),_xlfn.LET(_xlpm.linha_insumo,MATCH($B183,'ICD'!$B:$B,0),_xlpm.coluna_uf,MATCH($B$8,'ICD'!$F$4:$AF$4,0),_xlpm.preco_uf,INDEX('ICD'!$F:$AF,_xlpm.linha_insumo,_xlpm.coluna_uf),IF(ISERROR(_xlpm.linha_insumo),"",IF(_xlpm.preco_uf&lt;&gt;0,0%,100%))),
IF(AND($A183="INSUMO",$A$8="SEM ENCARGOS SOCIAIS"),_xlfn.LET(_xlpm.linha_insumo,MATCH($B183,'ISE'!$B:$B,0),_xlpm.coluna_uf,MATCH($B$8,'ISE'!$F$10:$AF$10,0),_xlpm.preco_uf,INDEX('ISE'!$F:$AF,_xlpm.linha_insumo,_xlpm.coluna_uf),IF(ISERROR(_xlpm.linha_insumo),"",IF(_xlpm.preco_uf&lt;&gt;0,0%,100%))),
IF(AND($A183="COMPOSICAO",$A$8="SEM DESONERAÇÃO"),_xlfn.XLOOKUP($B183,'CSD'!B:B,OFFSET('CSD'!$D:$D,0,1+MATCH($B$8,'CSD'!$E$4:$BF$4,0)),0),
IF(AND($A183="COMPOSICAO",$A$8="COM DESONERAÇÃO"),_xlfn.XLOOKUP($B183,'CCD'!B:B,OFFSET('CCD'!$D:$D,0,1+MATCH($B$8,'CCD'!$E$4:$BF$4,0)),0),
IF(AND($A183="COMPOSICAO",$A$8="SEM ENCARGOS SOCIAIS"),_xlfn.XLOOKUP($B183,'CSE'!B:B,OFFSET('CSE'!$D:$D,0,1+MATCH($B$8,'CSE'!$E$9:$BF$9,0)),0),""
)))))))</f>
        <v>0</v>
      </c>
    </row>
    <row r="184" spans="6:8">
      <c r="F184" s="19" cm="1">
        <f t="array" ref="F184">IF($A184="","",
IF(AND($A184="INSUMO",$A$8="SEM DESONERAÇÃO"),_xlfn.LET(_xlpm.linha_insumo,MATCH($B184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_xlpm.preco_regional_as,INDEX($M:$M,MATCH($B184&amp;"_"&amp;$B$8,$K:$K,0)),
IF(ISERROR(_xlpm.linha_insumo),0,IF(_xlpm.preco_uf&lt;&gt;0,_xlpm.preco_uf,IF(ISNUMBER(_xlpm.preco_regional_as),_xlpm.preco_regional_as,_xlpm.preco_sp)))),
IF(AND($A184="INSUMO",$A$8="COM DESONERAÇÃO"),_xlfn.LET(_xlpm.linha_insumo,MATCH($B184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_xlpm.preco_regional_as,INDEX($N:$N,MATCH($B184&amp;"_"&amp;$B$8,$K:$K,0)),
IF(ISERROR(_xlpm.linha_insumo),0,IF(_xlpm.preco_uf&lt;&gt;0,_xlpm.preco_uf,IF(ISNUMBER(_xlpm.preco_regional_as),_xlpm.preco_regional_as,_xlpm.preco_sp)))),
IF(AND($A184="INSUMO",$A$8="SEM ENCARGOS SOCIAIS"),_xlfn.LET(_xlpm.linha_insumo,MATCH($B184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_xlpm.preco_regional_as,INDEX($L:$L,MATCH($B184&amp;"_"&amp;$B$8,$K:$K,0)),
IF(ISERROR(_xlpm.linha_insumo),0,IF(_xlpm.preco_uf&lt;&gt;0,_xlpm.preco_uf,IF(ISNUMBER(_xlpm.preco_regional_as),_xlpm.preco_regional_as,_xlpm.preco_sp)))),
IF(AND($A184="COMPOSICAO",$A$8="SEM DESONERAÇÃO"),_xlfn.XLOOKUP($B184,'CSD'!B:B,OFFSET('CSD'!$D:$D,0,MATCH($B$8,'CSD'!$E$4:$BF$4,0)),0),
IF(AND($A184="COMPOSICAO",$A$8="COM DESONERAÇÃO"),_xlfn.XLOOKUP($B184,'CCD'!B:B,OFFSET('CCD'!$D:$D,0,MATCH($B$8,'CCD'!$E$4:$BF$4,0)),0),
IF(AND($A184="COMPOSICAO",$A$8="SEM ENCARGOS SOCIAIS"),_xlfn.XLOOKUP($B184,'CSE'!B:B,OFFSET('CSE'!$D:$D,0,MATCH($B$8,'CSE'!$E$9:$BF$9,0)),0),""
)))))))</f>
        <v>0</v>
      </c>
      <c r="G184" s="19">
        <f>IF($A184="","",TRUNC(E184*F184,2))</f>
        <v>0</v>
      </c>
      <c r="H184" s="20" cm="1">
        <f t="array" ref="H184">IF($A184="","",
IF(AND($A184="INSUMO",$A$8="SEM DESONERAÇÃO"),_xlfn.LET(_xlpm.linha_insumo,MATCH($B184,'ISD'!$B:$B,0),_xlpm.coluna_uf,MATCH($B$8,'ISD'!$F$4:$AF$4,0),_xlpm.preco_uf,INDEX('ISD'!$F:$AF,_xlpm.linha_insumo,_xlpm.coluna_uf),IF(ISERROR(_xlpm.linha_insumo),"",IF(_xlpm.preco_uf&lt;&gt;0,0%,100%))),
IF(AND($A184="INSUMO",$A$8="COM DESONERAÇÃO"),_xlfn.LET(_xlpm.linha_insumo,MATCH($B184,'ICD'!$B:$B,0),_xlpm.coluna_uf,MATCH($B$8,'ICD'!$F$4:$AF$4,0),_xlpm.preco_uf,INDEX('ICD'!$F:$AF,_xlpm.linha_insumo,_xlpm.coluna_uf),IF(ISERROR(_xlpm.linha_insumo),"",IF(_xlpm.preco_uf&lt;&gt;0,0%,100%))),
IF(AND($A184="INSUMO",$A$8="SEM ENCARGOS SOCIAIS"),_xlfn.LET(_xlpm.linha_insumo,MATCH($B184,'ISE'!$B:$B,0),_xlpm.coluna_uf,MATCH($B$8,'ISE'!$F$10:$AF$10,0),_xlpm.preco_uf,INDEX('ISE'!$F:$AF,_xlpm.linha_insumo,_xlpm.coluna_uf),IF(ISERROR(_xlpm.linha_insumo),"",IF(_xlpm.preco_uf&lt;&gt;0,0%,100%))),
IF(AND($A184="COMPOSICAO",$A$8="SEM DESONERAÇÃO"),_xlfn.XLOOKUP($B184,'CSD'!B:B,OFFSET('CSD'!$D:$D,0,1+MATCH($B$8,'CSD'!$E$4:$BF$4,0)),0),
IF(AND($A184="COMPOSICAO",$A$8="COM DESONERAÇÃO"),_xlfn.XLOOKUP($B184,'CCD'!B:B,OFFSET('CCD'!$D:$D,0,1+MATCH($B$8,'CCD'!$E$4:$BF$4,0)),0),
IF(AND($A184="COMPOSICAO",$A$8="SEM ENCARGOS SOCIAIS"),_xlfn.XLOOKUP($B184,'CSE'!B:B,OFFSET('CSE'!$D:$D,0,1+MATCH($B$8,'CSE'!$E$9:$BF$9,0)),0),""
)))))))</f>
        <v>0</v>
      </c>
    </row>
    <row r="185" spans="6:8">
      <c r="F185" s="19" cm="1">
        <f t="array" ref="F185">IF($A185="","",
IF(AND($A185="INSUMO",$A$8="SEM DESONERAÇÃO"),_xlfn.LET(_xlpm.linha_insumo,MATCH($B185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_xlpm.preco_regional_as,INDEX($M:$M,MATCH($B185&amp;"_"&amp;$B$8,$K:$K,0)),
IF(ISERROR(_xlpm.linha_insumo),0,IF(_xlpm.preco_uf&lt;&gt;0,_xlpm.preco_uf,IF(ISNUMBER(_xlpm.preco_regional_as),_xlpm.preco_regional_as,_xlpm.preco_sp)))),
IF(AND($A185="INSUMO",$A$8="COM DESONERAÇÃO"),_xlfn.LET(_xlpm.linha_insumo,MATCH($B185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_xlpm.preco_regional_as,INDEX($N:$N,MATCH($B185&amp;"_"&amp;$B$8,$K:$K,0)),
IF(ISERROR(_xlpm.linha_insumo),0,IF(_xlpm.preco_uf&lt;&gt;0,_xlpm.preco_uf,IF(ISNUMBER(_xlpm.preco_regional_as),_xlpm.preco_regional_as,_xlpm.preco_sp)))),
IF(AND($A185="INSUMO",$A$8="SEM ENCARGOS SOCIAIS"),_xlfn.LET(_xlpm.linha_insumo,MATCH($B185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_xlpm.preco_regional_as,INDEX($L:$L,MATCH($B185&amp;"_"&amp;$B$8,$K:$K,0)),
IF(ISERROR(_xlpm.linha_insumo),0,IF(_xlpm.preco_uf&lt;&gt;0,_xlpm.preco_uf,IF(ISNUMBER(_xlpm.preco_regional_as),_xlpm.preco_regional_as,_xlpm.preco_sp)))),
IF(AND($A185="COMPOSICAO",$A$8="SEM DESONERAÇÃO"),_xlfn.XLOOKUP($B185,'CSD'!B:B,OFFSET('CSD'!$D:$D,0,MATCH($B$8,'CSD'!$E$4:$BF$4,0)),0),
IF(AND($A185="COMPOSICAO",$A$8="COM DESONERAÇÃO"),_xlfn.XLOOKUP($B185,'CCD'!B:B,OFFSET('CCD'!$D:$D,0,MATCH($B$8,'CCD'!$E$4:$BF$4,0)),0),
IF(AND($A185="COMPOSICAO",$A$8="SEM ENCARGOS SOCIAIS"),_xlfn.XLOOKUP($B185,'CSE'!B:B,OFFSET('CSE'!$D:$D,0,MATCH($B$8,'CSE'!$E$9:$BF$9,0)),0),""
)))))))</f>
        <v>0</v>
      </c>
      <c r="G185" s="19">
        <f>IF($A185="","",TRUNC(E185*F185,2))</f>
        <v>0</v>
      </c>
      <c r="H185" s="20" cm="1">
        <f t="array" ref="H185">IF($A185="","",
IF(AND($A185="INSUMO",$A$8="SEM DESONERAÇÃO"),_xlfn.LET(_xlpm.linha_insumo,MATCH($B185,'ISD'!$B:$B,0),_xlpm.coluna_uf,MATCH($B$8,'ISD'!$F$4:$AF$4,0),_xlpm.preco_uf,INDEX('ISD'!$F:$AF,_xlpm.linha_insumo,_xlpm.coluna_uf),IF(ISERROR(_xlpm.linha_insumo),"",IF(_xlpm.preco_uf&lt;&gt;0,0%,100%))),
IF(AND($A185="INSUMO",$A$8="COM DESONERAÇÃO"),_xlfn.LET(_xlpm.linha_insumo,MATCH($B185,'ICD'!$B:$B,0),_xlpm.coluna_uf,MATCH($B$8,'ICD'!$F$4:$AF$4,0),_xlpm.preco_uf,INDEX('ICD'!$F:$AF,_xlpm.linha_insumo,_xlpm.coluna_uf),IF(ISERROR(_xlpm.linha_insumo),"",IF(_xlpm.preco_uf&lt;&gt;0,0%,100%))),
IF(AND($A185="INSUMO",$A$8="SEM ENCARGOS SOCIAIS"),_xlfn.LET(_xlpm.linha_insumo,MATCH($B185,'ISE'!$B:$B,0),_xlpm.coluna_uf,MATCH($B$8,'ISE'!$F$10:$AF$10,0),_xlpm.preco_uf,INDEX('ISE'!$F:$AF,_xlpm.linha_insumo,_xlpm.coluna_uf),IF(ISERROR(_xlpm.linha_insumo),"",IF(_xlpm.preco_uf&lt;&gt;0,0%,100%))),
IF(AND($A185="COMPOSICAO",$A$8="SEM DESONERAÇÃO"),_xlfn.XLOOKUP($B185,'CSD'!B:B,OFFSET('CSD'!$D:$D,0,1+MATCH($B$8,'CSD'!$E$4:$BF$4,0)),0),
IF(AND($A185="COMPOSICAO",$A$8="COM DESONERAÇÃO"),_xlfn.XLOOKUP($B185,'CCD'!B:B,OFFSET('CCD'!$D:$D,0,1+MATCH($B$8,'CCD'!$E$4:$BF$4,0)),0),
IF(AND($A185="COMPOSICAO",$A$8="SEM ENCARGOS SOCIAIS"),_xlfn.XLOOKUP($B185,'CSE'!B:B,OFFSET('CSE'!$D:$D,0,1+MATCH($B$8,'CSE'!$E$9:$BF$9,0)),0),""
)))))))</f>
        <v>0</v>
      </c>
    </row>
    <row r="186" spans="6:8">
      <c r="F186" s="19" cm="1">
        <f t="array" ref="F186">IF($A186="","",
IF(AND($A186="INSUMO",$A$8="SEM DESONERAÇÃO"),_xlfn.LET(_xlpm.linha_insumo,MATCH($B186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_xlpm.preco_regional_as,INDEX($M:$M,MATCH($B186&amp;"_"&amp;$B$8,$K:$K,0)),
IF(ISERROR(_xlpm.linha_insumo),0,IF(_xlpm.preco_uf&lt;&gt;0,_xlpm.preco_uf,IF(ISNUMBER(_xlpm.preco_regional_as),_xlpm.preco_regional_as,_xlpm.preco_sp)))),
IF(AND($A186="INSUMO",$A$8="COM DESONERAÇÃO"),_xlfn.LET(_xlpm.linha_insumo,MATCH($B186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_xlpm.preco_regional_as,INDEX($N:$N,MATCH($B186&amp;"_"&amp;$B$8,$K:$K,0)),
IF(ISERROR(_xlpm.linha_insumo),0,IF(_xlpm.preco_uf&lt;&gt;0,_xlpm.preco_uf,IF(ISNUMBER(_xlpm.preco_regional_as),_xlpm.preco_regional_as,_xlpm.preco_sp)))),
IF(AND($A186="INSUMO",$A$8="SEM ENCARGOS SOCIAIS"),_xlfn.LET(_xlpm.linha_insumo,MATCH($B186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_xlpm.preco_regional_as,INDEX($L:$L,MATCH($B186&amp;"_"&amp;$B$8,$K:$K,0)),
IF(ISERROR(_xlpm.linha_insumo),0,IF(_xlpm.preco_uf&lt;&gt;0,_xlpm.preco_uf,IF(ISNUMBER(_xlpm.preco_regional_as),_xlpm.preco_regional_as,_xlpm.preco_sp)))),
IF(AND($A186="COMPOSICAO",$A$8="SEM DESONERAÇÃO"),_xlfn.XLOOKUP($B186,'CSD'!B:B,OFFSET('CSD'!$D:$D,0,MATCH($B$8,'CSD'!$E$4:$BF$4,0)),0),
IF(AND($A186="COMPOSICAO",$A$8="COM DESONERAÇÃO"),_xlfn.XLOOKUP($B186,'CCD'!B:B,OFFSET('CCD'!$D:$D,0,MATCH($B$8,'CCD'!$E$4:$BF$4,0)),0),
IF(AND($A186="COMPOSICAO",$A$8="SEM ENCARGOS SOCIAIS"),_xlfn.XLOOKUP($B186,'CSE'!B:B,OFFSET('CSE'!$D:$D,0,MATCH($B$8,'CSE'!$E$9:$BF$9,0)),0),""
)))))))</f>
        <v>0</v>
      </c>
      <c r="G186" s="19">
        <f>IF($A186="","",TRUNC(E186*F186,2))</f>
        <v>0</v>
      </c>
      <c r="H186" s="20" cm="1">
        <f t="array" ref="H186">IF($A186="","",
IF(AND($A186="INSUMO",$A$8="SEM DESONERAÇÃO"),_xlfn.LET(_xlpm.linha_insumo,MATCH($B186,'ISD'!$B:$B,0),_xlpm.coluna_uf,MATCH($B$8,'ISD'!$F$4:$AF$4,0),_xlpm.preco_uf,INDEX('ISD'!$F:$AF,_xlpm.linha_insumo,_xlpm.coluna_uf),IF(ISERROR(_xlpm.linha_insumo),"",IF(_xlpm.preco_uf&lt;&gt;0,0%,100%))),
IF(AND($A186="INSUMO",$A$8="COM DESONERAÇÃO"),_xlfn.LET(_xlpm.linha_insumo,MATCH($B186,'ICD'!$B:$B,0),_xlpm.coluna_uf,MATCH($B$8,'ICD'!$F$4:$AF$4,0),_xlpm.preco_uf,INDEX('ICD'!$F:$AF,_xlpm.linha_insumo,_xlpm.coluna_uf),IF(ISERROR(_xlpm.linha_insumo),"",IF(_xlpm.preco_uf&lt;&gt;0,0%,100%))),
IF(AND($A186="INSUMO",$A$8="SEM ENCARGOS SOCIAIS"),_xlfn.LET(_xlpm.linha_insumo,MATCH($B186,'ISE'!$B:$B,0),_xlpm.coluna_uf,MATCH($B$8,'ISE'!$F$10:$AF$10,0),_xlpm.preco_uf,INDEX('ISE'!$F:$AF,_xlpm.linha_insumo,_xlpm.coluna_uf),IF(ISERROR(_xlpm.linha_insumo),"",IF(_xlpm.preco_uf&lt;&gt;0,0%,100%))),
IF(AND($A186="COMPOSICAO",$A$8="SEM DESONERAÇÃO"),_xlfn.XLOOKUP($B186,'CSD'!B:B,OFFSET('CSD'!$D:$D,0,1+MATCH($B$8,'CSD'!$E$4:$BF$4,0)),0),
IF(AND($A186="COMPOSICAO",$A$8="COM DESONERAÇÃO"),_xlfn.XLOOKUP($B186,'CCD'!B:B,OFFSET('CCD'!$D:$D,0,1+MATCH($B$8,'CCD'!$E$4:$BF$4,0)),0),
IF(AND($A186="COMPOSICAO",$A$8="SEM ENCARGOS SOCIAIS"),_xlfn.XLOOKUP($B186,'CSE'!B:B,OFFSET('CSE'!$D:$D,0,1+MATCH($B$8,'CSE'!$E$9:$BF$9,0)),0),""
)))))))</f>
        <v>0</v>
      </c>
    </row>
    <row r="187" spans="6:8">
      <c r="F187" s="19" cm="1">
        <f t="array" ref="F187">IF($A187="","",
IF(AND($A187="INSUMO",$A$8="SEM DESONERAÇÃO"),_xlfn.LET(_xlpm.linha_insumo,MATCH($B187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_xlpm.preco_regional_as,INDEX($M:$M,MATCH($B187&amp;"_"&amp;$B$8,$K:$K,0)),
IF(ISERROR(_xlpm.linha_insumo),0,IF(_xlpm.preco_uf&lt;&gt;0,_xlpm.preco_uf,IF(ISNUMBER(_xlpm.preco_regional_as),_xlpm.preco_regional_as,_xlpm.preco_sp)))),
IF(AND($A187="INSUMO",$A$8="COM DESONERAÇÃO"),_xlfn.LET(_xlpm.linha_insumo,MATCH($B187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_xlpm.preco_regional_as,INDEX($N:$N,MATCH($B187&amp;"_"&amp;$B$8,$K:$K,0)),
IF(ISERROR(_xlpm.linha_insumo),0,IF(_xlpm.preco_uf&lt;&gt;0,_xlpm.preco_uf,IF(ISNUMBER(_xlpm.preco_regional_as),_xlpm.preco_regional_as,_xlpm.preco_sp)))),
IF(AND($A187="INSUMO",$A$8="SEM ENCARGOS SOCIAIS"),_xlfn.LET(_xlpm.linha_insumo,MATCH($B187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_xlpm.preco_regional_as,INDEX($L:$L,MATCH($B187&amp;"_"&amp;$B$8,$K:$K,0)),
IF(ISERROR(_xlpm.linha_insumo),0,IF(_xlpm.preco_uf&lt;&gt;0,_xlpm.preco_uf,IF(ISNUMBER(_xlpm.preco_regional_as),_xlpm.preco_regional_as,_xlpm.preco_sp)))),
IF(AND($A187="COMPOSICAO",$A$8="SEM DESONERAÇÃO"),_xlfn.XLOOKUP($B187,'CSD'!B:B,OFFSET('CSD'!$D:$D,0,MATCH($B$8,'CSD'!$E$4:$BF$4,0)),0),
IF(AND($A187="COMPOSICAO",$A$8="COM DESONERAÇÃO"),_xlfn.XLOOKUP($B187,'CCD'!B:B,OFFSET('CCD'!$D:$D,0,MATCH($B$8,'CCD'!$E$4:$BF$4,0)),0),
IF(AND($A187="COMPOSICAO",$A$8="SEM ENCARGOS SOCIAIS"),_xlfn.XLOOKUP($B187,'CSE'!B:B,OFFSET('CSE'!$D:$D,0,MATCH($B$8,'CSE'!$E$9:$BF$9,0)),0),""
)))))))</f>
        <v>0</v>
      </c>
      <c r="G187" s="19">
        <f>IF($A187="","",TRUNC(E187*F187,2))</f>
        <v>0</v>
      </c>
      <c r="H187" s="20" cm="1">
        <f t="array" ref="H187">IF($A187="","",
IF(AND($A187="INSUMO",$A$8="SEM DESONERAÇÃO"),_xlfn.LET(_xlpm.linha_insumo,MATCH($B187,'ISD'!$B:$B,0),_xlpm.coluna_uf,MATCH($B$8,'ISD'!$F$4:$AF$4,0),_xlpm.preco_uf,INDEX('ISD'!$F:$AF,_xlpm.linha_insumo,_xlpm.coluna_uf),IF(ISERROR(_xlpm.linha_insumo),"",IF(_xlpm.preco_uf&lt;&gt;0,0%,100%))),
IF(AND($A187="INSUMO",$A$8="COM DESONERAÇÃO"),_xlfn.LET(_xlpm.linha_insumo,MATCH($B187,'ICD'!$B:$B,0),_xlpm.coluna_uf,MATCH($B$8,'ICD'!$F$4:$AF$4,0),_xlpm.preco_uf,INDEX('ICD'!$F:$AF,_xlpm.linha_insumo,_xlpm.coluna_uf),IF(ISERROR(_xlpm.linha_insumo),"",IF(_xlpm.preco_uf&lt;&gt;0,0%,100%))),
IF(AND($A187="INSUMO",$A$8="SEM ENCARGOS SOCIAIS"),_xlfn.LET(_xlpm.linha_insumo,MATCH($B187,'ISE'!$B:$B,0),_xlpm.coluna_uf,MATCH($B$8,'ISE'!$F$10:$AF$10,0),_xlpm.preco_uf,INDEX('ISE'!$F:$AF,_xlpm.linha_insumo,_xlpm.coluna_uf),IF(ISERROR(_xlpm.linha_insumo),"",IF(_xlpm.preco_uf&lt;&gt;0,0%,100%))),
IF(AND($A187="COMPOSICAO",$A$8="SEM DESONERAÇÃO"),_xlfn.XLOOKUP($B187,'CSD'!B:B,OFFSET('CSD'!$D:$D,0,1+MATCH($B$8,'CSD'!$E$4:$BF$4,0)),0),
IF(AND($A187="COMPOSICAO",$A$8="COM DESONERAÇÃO"),_xlfn.XLOOKUP($B187,'CCD'!B:B,OFFSET('CCD'!$D:$D,0,1+MATCH($B$8,'CCD'!$E$4:$BF$4,0)),0),
IF(AND($A187="COMPOSICAO",$A$8="SEM ENCARGOS SOCIAIS"),_xlfn.XLOOKUP($B187,'CSE'!B:B,OFFSET('CSE'!$D:$D,0,1+MATCH($B$8,'CSE'!$E$9:$BF$9,0)),0),""
)))))))</f>
        <v>0</v>
      </c>
    </row>
    <row r="188" spans="6:8">
      <c r="F188" s="19" cm="1">
        <f t="array" ref="F188">IF($A188="","",
IF(AND($A188="INSUMO",$A$8="SEM DESONERAÇÃO"),_xlfn.LET(_xlpm.linha_insumo,MATCH($B188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_xlpm.preco_regional_as,INDEX($M:$M,MATCH($B188&amp;"_"&amp;$B$8,$K:$K,0)),
IF(ISERROR(_xlpm.linha_insumo),0,IF(_xlpm.preco_uf&lt;&gt;0,_xlpm.preco_uf,IF(ISNUMBER(_xlpm.preco_regional_as),_xlpm.preco_regional_as,_xlpm.preco_sp)))),
IF(AND($A188="INSUMO",$A$8="COM DESONERAÇÃO"),_xlfn.LET(_xlpm.linha_insumo,MATCH($B188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_xlpm.preco_regional_as,INDEX($N:$N,MATCH($B188&amp;"_"&amp;$B$8,$K:$K,0)),
IF(ISERROR(_xlpm.linha_insumo),0,IF(_xlpm.preco_uf&lt;&gt;0,_xlpm.preco_uf,IF(ISNUMBER(_xlpm.preco_regional_as),_xlpm.preco_regional_as,_xlpm.preco_sp)))),
IF(AND($A188="INSUMO",$A$8="SEM ENCARGOS SOCIAIS"),_xlfn.LET(_xlpm.linha_insumo,MATCH($B188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_xlpm.preco_regional_as,INDEX($L:$L,MATCH($B188&amp;"_"&amp;$B$8,$K:$K,0)),
IF(ISERROR(_xlpm.linha_insumo),0,IF(_xlpm.preco_uf&lt;&gt;0,_xlpm.preco_uf,IF(ISNUMBER(_xlpm.preco_regional_as),_xlpm.preco_regional_as,_xlpm.preco_sp)))),
IF(AND($A188="COMPOSICAO",$A$8="SEM DESONERAÇÃO"),_xlfn.XLOOKUP($B188,'CSD'!B:B,OFFSET('CSD'!$D:$D,0,MATCH($B$8,'CSD'!$E$4:$BF$4,0)),0),
IF(AND($A188="COMPOSICAO",$A$8="COM DESONERAÇÃO"),_xlfn.XLOOKUP($B188,'CCD'!B:B,OFFSET('CCD'!$D:$D,0,MATCH($B$8,'CCD'!$E$4:$BF$4,0)),0),
IF(AND($A188="COMPOSICAO",$A$8="SEM ENCARGOS SOCIAIS"),_xlfn.XLOOKUP($B188,'CSE'!B:B,OFFSET('CSE'!$D:$D,0,MATCH($B$8,'CSE'!$E$9:$BF$9,0)),0),""
)))))))</f>
        <v>0</v>
      </c>
      <c r="G188" s="19">
        <f>IF($A188="","",TRUNC(E188*F188,2))</f>
        <v>0</v>
      </c>
      <c r="H188" s="20" cm="1">
        <f t="array" ref="H188">IF($A188="","",
IF(AND($A188="INSUMO",$A$8="SEM DESONERAÇÃO"),_xlfn.LET(_xlpm.linha_insumo,MATCH($B188,'ISD'!$B:$B,0),_xlpm.coluna_uf,MATCH($B$8,'ISD'!$F$4:$AF$4,0),_xlpm.preco_uf,INDEX('ISD'!$F:$AF,_xlpm.linha_insumo,_xlpm.coluna_uf),IF(ISERROR(_xlpm.linha_insumo),"",IF(_xlpm.preco_uf&lt;&gt;0,0%,100%))),
IF(AND($A188="INSUMO",$A$8="COM DESONERAÇÃO"),_xlfn.LET(_xlpm.linha_insumo,MATCH($B188,'ICD'!$B:$B,0),_xlpm.coluna_uf,MATCH($B$8,'ICD'!$F$4:$AF$4,0),_xlpm.preco_uf,INDEX('ICD'!$F:$AF,_xlpm.linha_insumo,_xlpm.coluna_uf),IF(ISERROR(_xlpm.linha_insumo),"",IF(_xlpm.preco_uf&lt;&gt;0,0%,100%))),
IF(AND($A188="INSUMO",$A$8="SEM ENCARGOS SOCIAIS"),_xlfn.LET(_xlpm.linha_insumo,MATCH($B188,'ISE'!$B:$B,0),_xlpm.coluna_uf,MATCH($B$8,'ISE'!$F$10:$AF$10,0),_xlpm.preco_uf,INDEX('ISE'!$F:$AF,_xlpm.linha_insumo,_xlpm.coluna_uf),IF(ISERROR(_xlpm.linha_insumo),"",IF(_xlpm.preco_uf&lt;&gt;0,0%,100%))),
IF(AND($A188="COMPOSICAO",$A$8="SEM DESONERAÇÃO"),_xlfn.XLOOKUP($B188,'CSD'!B:B,OFFSET('CSD'!$D:$D,0,1+MATCH($B$8,'CSD'!$E$4:$BF$4,0)),0),
IF(AND($A188="COMPOSICAO",$A$8="COM DESONERAÇÃO"),_xlfn.XLOOKUP($B188,'CCD'!B:B,OFFSET('CCD'!$D:$D,0,1+MATCH($B$8,'CCD'!$E$4:$BF$4,0)),0),
IF(AND($A188="COMPOSICAO",$A$8="SEM ENCARGOS SOCIAIS"),_xlfn.XLOOKUP($B188,'CSE'!B:B,OFFSET('CSE'!$D:$D,0,1+MATCH($B$8,'CSE'!$E$9:$BF$9,0)),0),""
)))))))</f>
        <v>0</v>
      </c>
    </row>
    <row r="189" spans="6:8">
      <c r="F189" s="19" cm="1">
        <f t="array" ref="F189">IF($A189="","",
IF(AND($A189="INSUMO",$A$8="SEM DESONERAÇÃO"),_xlfn.LET(_xlpm.linha_insumo,MATCH($B189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_xlpm.preco_regional_as,INDEX($M:$M,MATCH($B189&amp;"_"&amp;$B$8,$K:$K,0)),
IF(ISERROR(_xlpm.linha_insumo),0,IF(_xlpm.preco_uf&lt;&gt;0,_xlpm.preco_uf,IF(ISNUMBER(_xlpm.preco_regional_as),_xlpm.preco_regional_as,_xlpm.preco_sp)))),
IF(AND($A189="INSUMO",$A$8="COM DESONERAÇÃO"),_xlfn.LET(_xlpm.linha_insumo,MATCH($B189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_xlpm.preco_regional_as,INDEX($N:$N,MATCH($B189&amp;"_"&amp;$B$8,$K:$K,0)),
IF(ISERROR(_xlpm.linha_insumo),0,IF(_xlpm.preco_uf&lt;&gt;0,_xlpm.preco_uf,IF(ISNUMBER(_xlpm.preco_regional_as),_xlpm.preco_regional_as,_xlpm.preco_sp)))),
IF(AND($A189="INSUMO",$A$8="SEM ENCARGOS SOCIAIS"),_xlfn.LET(_xlpm.linha_insumo,MATCH($B189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_xlpm.preco_regional_as,INDEX($L:$L,MATCH($B189&amp;"_"&amp;$B$8,$K:$K,0)),
IF(ISERROR(_xlpm.linha_insumo),0,IF(_xlpm.preco_uf&lt;&gt;0,_xlpm.preco_uf,IF(ISNUMBER(_xlpm.preco_regional_as),_xlpm.preco_regional_as,_xlpm.preco_sp)))),
IF(AND($A189="COMPOSICAO",$A$8="SEM DESONERAÇÃO"),_xlfn.XLOOKUP($B189,'CSD'!B:B,OFFSET('CSD'!$D:$D,0,MATCH($B$8,'CSD'!$E$4:$BF$4,0)),0),
IF(AND($A189="COMPOSICAO",$A$8="COM DESONERAÇÃO"),_xlfn.XLOOKUP($B189,'CCD'!B:B,OFFSET('CCD'!$D:$D,0,MATCH($B$8,'CCD'!$E$4:$BF$4,0)),0),
IF(AND($A189="COMPOSICAO",$A$8="SEM ENCARGOS SOCIAIS"),_xlfn.XLOOKUP($B189,'CSE'!B:B,OFFSET('CSE'!$D:$D,0,MATCH($B$8,'CSE'!$E$9:$BF$9,0)),0),""
)))))))</f>
        <v>0</v>
      </c>
      <c r="G189" s="19">
        <f>IF($A189="","",TRUNC(E189*F189,2))</f>
        <v>0</v>
      </c>
      <c r="H189" s="20" cm="1">
        <f t="array" ref="H189">IF($A189="","",
IF(AND($A189="INSUMO",$A$8="SEM DESONERAÇÃO"),_xlfn.LET(_xlpm.linha_insumo,MATCH($B189,'ISD'!$B:$B,0),_xlpm.coluna_uf,MATCH($B$8,'ISD'!$F$4:$AF$4,0),_xlpm.preco_uf,INDEX('ISD'!$F:$AF,_xlpm.linha_insumo,_xlpm.coluna_uf),IF(ISERROR(_xlpm.linha_insumo),"",IF(_xlpm.preco_uf&lt;&gt;0,0%,100%))),
IF(AND($A189="INSUMO",$A$8="COM DESONERAÇÃO"),_xlfn.LET(_xlpm.linha_insumo,MATCH($B189,'ICD'!$B:$B,0),_xlpm.coluna_uf,MATCH($B$8,'ICD'!$F$4:$AF$4,0),_xlpm.preco_uf,INDEX('ICD'!$F:$AF,_xlpm.linha_insumo,_xlpm.coluna_uf),IF(ISERROR(_xlpm.linha_insumo),"",IF(_xlpm.preco_uf&lt;&gt;0,0%,100%))),
IF(AND($A189="INSUMO",$A$8="SEM ENCARGOS SOCIAIS"),_xlfn.LET(_xlpm.linha_insumo,MATCH($B189,'ISE'!$B:$B,0),_xlpm.coluna_uf,MATCH($B$8,'ISE'!$F$10:$AF$10,0),_xlpm.preco_uf,INDEX('ISE'!$F:$AF,_xlpm.linha_insumo,_xlpm.coluna_uf),IF(ISERROR(_xlpm.linha_insumo),"",IF(_xlpm.preco_uf&lt;&gt;0,0%,100%))),
IF(AND($A189="COMPOSICAO",$A$8="SEM DESONERAÇÃO"),_xlfn.XLOOKUP($B189,'CSD'!B:B,OFFSET('CSD'!$D:$D,0,1+MATCH($B$8,'CSD'!$E$4:$BF$4,0)),0),
IF(AND($A189="COMPOSICAO",$A$8="COM DESONERAÇÃO"),_xlfn.XLOOKUP($B189,'CCD'!B:B,OFFSET('CCD'!$D:$D,0,1+MATCH($B$8,'CCD'!$E$4:$BF$4,0)),0),
IF(AND($A189="COMPOSICAO",$A$8="SEM ENCARGOS SOCIAIS"),_xlfn.XLOOKUP($B189,'CSE'!B:B,OFFSET('CSE'!$D:$D,0,1+MATCH($B$8,'CSE'!$E$9:$BF$9,0)),0),""
)))))))</f>
        <v>0</v>
      </c>
    </row>
    <row r="190" spans="6:8">
      <c r="F190" s="19" cm="1">
        <f t="array" ref="F190">IF($A190="","",
IF(AND($A190="INSUMO",$A$8="SEM DESONERAÇÃO"),_xlfn.LET(_xlpm.linha_insumo,MATCH($B190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_xlpm.preco_regional_as,INDEX($M:$M,MATCH($B190&amp;"_"&amp;$B$8,$K:$K,0)),
IF(ISERROR(_xlpm.linha_insumo),0,IF(_xlpm.preco_uf&lt;&gt;0,_xlpm.preco_uf,IF(ISNUMBER(_xlpm.preco_regional_as),_xlpm.preco_regional_as,_xlpm.preco_sp)))),
IF(AND($A190="INSUMO",$A$8="COM DESONERAÇÃO"),_xlfn.LET(_xlpm.linha_insumo,MATCH($B190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_xlpm.preco_regional_as,INDEX($N:$N,MATCH($B190&amp;"_"&amp;$B$8,$K:$K,0)),
IF(ISERROR(_xlpm.linha_insumo),0,IF(_xlpm.preco_uf&lt;&gt;0,_xlpm.preco_uf,IF(ISNUMBER(_xlpm.preco_regional_as),_xlpm.preco_regional_as,_xlpm.preco_sp)))),
IF(AND($A190="INSUMO",$A$8="SEM ENCARGOS SOCIAIS"),_xlfn.LET(_xlpm.linha_insumo,MATCH($B190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_xlpm.preco_regional_as,INDEX($L:$L,MATCH($B190&amp;"_"&amp;$B$8,$K:$K,0)),
IF(ISERROR(_xlpm.linha_insumo),0,IF(_xlpm.preco_uf&lt;&gt;0,_xlpm.preco_uf,IF(ISNUMBER(_xlpm.preco_regional_as),_xlpm.preco_regional_as,_xlpm.preco_sp)))),
IF(AND($A190="COMPOSICAO",$A$8="SEM DESONERAÇÃO"),_xlfn.XLOOKUP($B190,'CSD'!B:B,OFFSET('CSD'!$D:$D,0,MATCH($B$8,'CSD'!$E$4:$BF$4,0)),0),
IF(AND($A190="COMPOSICAO",$A$8="COM DESONERAÇÃO"),_xlfn.XLOOKUP($B190,'CCD'!B:B,OFFSET('CCD'!$D:$D,0,MATCH($B$8,'CCD'!$E$4:$BF$4,0)),0),
IF(AND($A190="COMPOSICAO",$A$8="SEM ENCARGOS SOCIAIS"),_xlfn.XLOOKUP($B190,'CSE'!B:B,OFFSET('CSE'!$D:$D,0,MATCH($B$8,'CSE'!$E$9:$BF$9,0)),0),""
)))))))</f>
        <v>0</v>
      </c>
      <c r="G190" s="19">
        <f>IF($A190="","",TRUNC(E190*F190,2))</f>
        <v>0</v>
      </c>
      <c r="H190" s="20" cm="1">
        <f t="array" ref="H190">IF($A190="","",
IF(AND($A190="INSUMO",$A$8="SEM DESONERAÇÃO"),_xlfn.LET(_xlpm.linha_insumo,MATCH($B190,'ISD'!$B:$B,0),_xlpm.coluna_uf,MATCH($B$8,'ISD'!$F$4:$AF$4,0),_xlpm.preco_uf,INDEX('ISD'!$F:$AF,_xlpm.linha_insumo,_xlpm.coluna_uf),IF(ISERROR(_xlpm.linha_insumo),"",IF(_xlpm.preco_uf&lt;&gt;0,0%,100%))),
IF(AND($A190="INSUMO",$A$8="COM DESONERAÇÃO"),_xlfn.LET(_xlpm.linha_insumo,MATCH($B190,'ICD'!$B:$B,0),_xlpm.coluna_uf,MATCH($B$8,'ICD'!$F$4:$AF$4,0),_xlpm.preco_uf,INDEX('ICD'!$F:$AF,_xlpm.linha_insumo,_xlpm.coluna_uf),IF(ISERROR(_xlpm.linha_insumo),"",IF(_xlpm.preco_uf&lt;&gt;0,0%,100%))),
IF(AND($A190="INSUMO",$A$8="SEM ENCARGOS SOCIAIS"),_xlfn.LET(_xlpm.linha_insumo,MATCH($B190,'ISE'!$B:$B,0),_xlpm.coluna_uf,MATCH($B$8,'ISE'!$F$10:$AF$10,0),_xlpm.preco_uf,INDEX('ISE'!$F:$AF,_xlpm.linha_insumo,_xlpm.coluna_uf),IF(ISERROR(_xlpm.linha_insumo),"",IF(_xlpm.preco_uf&lt;&gt;0,0%,100%))),
IF(AND($A190="COMPOSICAO",$A$8="SEM DESONERAÇÃO"),_xlfn.XLOOKUP($B190,'CSD'!B:B,OFFSET('CSD'!$D:$D,0,1+MATCH($B$8,'CSD'!$E$4:$BF$4,0)),0),
IF(AND($A190="COMPOSICAO",$A$8="COM DESONERAÇÃO"),_xlfn.XLOOKUP($B190,'CCD'!B:B,OFFSET('CCD'!$D:$D,0,1+MATCH($B$8,'CCD'!$E$4:$BF$4,0)),0),
IF(AND($A190="COMPOSICAO",$A$8="SEM ENCARGOS SOCIAIS"),_xlfn.XLOOKUP($B190,'CSE'!B:B,OFFSET('CSE'!$D:$D,0,1+MATCH($B$8,'CSE'!$E$9:$BF$9,0)),0),""
)))))))</f>
        <v>0</v>
      </c>
    </row>
    <row r="191" spans="6:8">
      <c r="F191" s="19" cm="1">
        <f t="array" ref="F191">IF($A191="","",
IF(AND($A191="INSUMO",$A$8="SEM DESONERAÇÃO"),_xlfn.LET(_xlpm.linha_insumo,MATCH($B191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_xlpm.preco_regional_as,INDEX($M:$M,MATCH($B191&amp;"_"&amp;$B$8,$K:$K,0)),
IF(ISERROR(_xlpm.linha_insumo),0,IF(_xlpm.preco_uf&lt;&gt;0,_xlpm.preco_uf,IF(ISNUMBER(_xlpm.preco_regional_as),_xlpm.preco_regional_as,_xlpm.preco_sp)))),
IF(AND($A191="INSUMO",$A$8="COM DESONERAÇÃO"),_xlfn.LET(_xlpm.linha_insumo,MATCH($B191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_xlpm.preco_regional_as,INDEX($N:$N,MATCH($B191&amp;"_"&amp;$B$8,$K:$K,0)),
IF(ISERROR(_xlpm.linha_insumo),0,IF(_xlpm.preco_uf&lt;&gt;0,_xlpm.preco_uf,IF(ISNUMBER(_xlpm.preco_regional_as),_xlpm.preco_regional_as,_xlpm.preco_sp)))),
IF(AND($A191="INSUMO",$A$8="SEM ENCARGOS SOCIAIS"),_xlfn.LET(_xlpm.linha_insumo,MATCH($B191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_xlpm.preco_regional_as,INDEX($L:$L,MATCH($B191&amp;"_"&amp;$B$8,$K:$K,0)),
IF(ISERROR(_xlpm.linha_insumo),0,IF(_xlpm.preco_uf&lt;&gt;0,_xlpm.preco_uf,IF(ISNUMBER(_xlpm.preco_regional_as),_xlpm.preco_regional_as,_xlpm.preco_sp)))),
IF(AND($A191="COMPOSICAO",$A$8="SEM DESONERAÇÃO"),_xlfn.XLOOKUP($B191,'CSD'!B:B,OFFSET('CSD'!$D:$D,0,MATCH($B$8,'CSD'!$E$4:$BF$4,0)),0),
IF(AND($A191="COMPOSICAO",$A$8="COM DESONERAÇÃO"),_xlfn.XLOOKUP($B191,'CCD'!B:B,OFFSET('CCD'!$D:$D,0,MATCH($B$8,'CCD'!$E$4:$BF$4,0)),0),
IF(AND($A191="COMPOSICAO",$A$8="SEM ENCARGOS SOCIAIS"),_xlfn.XLOOKUP($B191,'CSE'!B:B,OFFSET('CSE'!$D:$D,0,MATCH($B$8,'CSE'!$E$9:$BF$9,0)),0),""
)))))))</f>
        <v>0</v>
      </c>
      <c r="G191" s="19">
        <f>IF($A191="","",TRUNC(E191*F191,2))</f>
        <v>0</v>
      </c>
      <c r="H191" s="20" cm="1">
        <f t="array" ref="H191">IF($A191="","",
IF(AND($A191="INSUMO",$A$8="SEM DESONERAÇÃO"),_xlfn.LET(_xlpm.linha_insumo,MATCH($B191,'ISD'!$B:$B,0),_xlpm.coluna_uf,MATCH($B$8,'ISD'!$F$4:$AF$4,0),_xlpm.preco_uf,INDEX('ISD'!$F:$AF,_xlpm.linha_insumo,_xlpm.coluna_uf),IF(ISERROR(_xlpm.linha_insumo),"",IF(_xlpm.preco_uf&lt;&gt;0,0%,100%))),
IF(AND($A191="INSUMO",$A$8="COM DESONERAÇÃO"),_xlfn.LET(_xlpm.linha_insumo,MATCH($B191,'ICD'!$B:$B,0),_xlpm.coluna_uf,MATCH($B$8,'ICD'!$F$4:$AF$4,0),_xlpm.preco_uf,INDEX('ICD'!$F:$AF,_xlpm.linha_insumo,_xlpm.coluna_uf),IF(ISERROR(_xlpm.linha_insumo),"",IF(_xlpm.preco_uf&lt;&gt;0,0%,100%))),
IF(AND($A191="INSUMO",$A$8="SEM ENCARGOS SOCIAIS"),_xlfn.LET(_xlpm.linha_insumo,MATCH($B191,'ISE'!$B:$B,0),_xlpm.coluna_uf,MATCH($B$8,'ISE'!$F$10:$AF$10,0),_xlpm.preco_uf,INDEX('ISE'!$F:$AF,_xlpm.linha_insumo,_xlpm.coluna_uf),IF(ISERROR(_xlpm.linha_insumo),"",IF(_xlpm.preco_uf&lt;&gt;0,0%,100%))),
IF(AND($A191="COMPOSICAO",$A$8="SEM DESONERAÇÃO"),_xlfn.XLOOKUP($B191,'CSD'!B:B,OFFSET('CSD'!$D:$D,0,1+MATCH($B$8,'CSD'!$E$4:$BF$4,0)),0),
IF(AND($A191="COMPOSICAO",$A$8="COM DESONERAÇÃO"),_xlfn.XLOOKUP($B191,'CCD'!B:B,OFFSET('CCD'!$D:$D,0,1+MATCH($B$8,'CCD'!$E$4:$BF$4,0)),0),
IF(AND($A191="COMPOSICAO",$A$8="SEM ENCARGOS SOCIAIS"),_xlfn.XLOOKUP($B191,'CSE'!B:B,OFFSET('CSE'!$D:$D,0,1+MATCH($B$8,'CSE'!$E$9:$BF$9,0)),0),""
)))))))</f>
        <v>0</v>
      </c>
    </row>
    <row r="192" spans="6:8">
      <c r="F192" s="19" cm="1">
        <f t="array" ref="F192">IF($A192="","",
IF(AND($A192="INSUMO",$A$8="SEM DESONERAÇÃO"),_xlfn.LET(_xlpm.linha_insumo,MATCH($B192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_xlpm.preco_regional_as,INDEX($M:$M,MATCH($B192&amp;"_"&amp;$B$8,$K:$K,0)),
IF(ISERROR(_xlpm.linha_insumo),0,IF(_xlpm.preco_uf&lt;&gt;0,_xlpm.preco_uf,IF(ISNUMBER(_xlpm.preco_regional_as),_xlpm.preco_regional_as,_xlpm.preco_sp)))),
IF(AND($A192="INSUMO",$A$8="COM DESONERAÇÃO"),_xlfn.LET(_xlpm.linha_insumo,MATCH($B192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_xlpm.preco_regional_as,INDEX($N:$N,MATCH($B192&amp;"_"&amp;$B$8,$K:$K,0)),
IF(ISERROR(_xlpm.linha_insumo),0,IF(_xlpm.preco_uf&lt;&gt;0,_xlpm.preco_uf,IF(ISNUMBER(_xlpm.preco_regional_as),_xlpm.preco_regional_as,_xlpm.preco_sp)))),
IF(AND($A192="INSUMO",$A$8="SEM ENCARGOS SOCIAIS"),_xlfn.LET(_xlpm.linha_insumo,MATCH($B192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_xlpm.preco_regional_as,INDEX($L:$L,MATCH($B192&amp;"_"&amp;$B$8,$K:$K,0)),
IF(ISERROR(_xlpm.linha_insumo),0,IF(_xlpm.preco_uf&lt;&gt;0,_xlpm.preco_uf,IF(ISNUMBER(_xlpm.preco_regional_as),_xlpm.preco_regional_as,_xlpm.preco_sp)))),
IF(AND($A192="COMPOSICAO",$A$8="SEM DESONERAÇÃO"),_xlfn.XLOOKUP($B192,'CSD'!B:B,OFFSET('CSD'!$D:$D,0,MATCH($B$8,'CSD'!$E$4:$BF$4,0)),0),
IF(AND($A192="COMPOSICAO",$A$8="COM DESONERAÇÃO"),_xlfn.XLOOKUP($B192,'CCD'!B:B,OFFSET('CCD'!$D:$D,0,MATCH($B$8,'CCD'!$E$4:$BF$4,0)),0),
IF(AND($A192="COMPOSICAO",$A$8="SEM ENCARGOS SOCIAIS"),_xlfn.XLOOKUP($B192,'CSE'!B:B,OFFSET('CSE'!$D:$D,0,MATCH($B$8,'CSE'!$E$9:$BF$9,0)),0),""
)))))))</f>
        <v>0</v>
      </c>
      <c r="G192" s="19">
        <f>IF($A192="","",TRUNC(E192*F192,2))</f>
        <v>0</v>
      </c>
      <c r="H192" s="20" cm="1">
        <f t="array" ref="H192">IF($A192="","",
IF(AND($A192="INSUMO",$A$8="SEM DESONERAÇÃO"),_xlfn.LET(_xlpm.linha_insumo,MATCH($B192,'ISD'!$B:$B,0),_xlpm.coluna_uf,MATCH($B$8,'ISD'!$F$4:$AF$4,0),_xlpm.preco_uf,INDEX('ISD'!$F:$AF,_xlpm.linha_insumo,_xlpm.coluna_uf),IF(ISERROR(_xlpm.linha_insumo),"",IF(_xlpm.preco_uf&lt;&gt;0,0%,100%))),
IF(AND($A192="INSUMO",$A$8="COM DESONERAÇÃO"),_xlfn.LET(_xlpm.linha_insumo,MATCH($B192,'ICD'!$B:$B,0),_xlpm.coluna_uf,MATCH($B$8,'ICD'!$F$4:$AF$4,0),_xlpm.preco_uf,INDEX('ICD'!$F:$AF,_xlpm.linha_insumo,_xlpm.coluna_uf),IF(ISERROR(_xlpm.linha_insumo),"",IF(_xlpm.preco_uf&lt;&gt;0,0%,100%))),
IF(AND($A192="INSUMO",$A$8="SEM ENCARGOS SOCIAIS"),_xlfn.LET(_xlpm.linha_insumo,MATCH($B192,'ISE'!$B:$B,0),_xlpm.coluna_uf,MATCH($B$8,'ISE'!$F$10:$AF$10,0),_xlpm.preco_uf,INDEX('ISE'!$F:$AF,_xlpm.linha_insumo,_xlpm.coluna_uf),IF(ISERROR(_xlpm.linha_insumo),"",IF(_xlpm.preco_uf&lt;&gt;0,0%,100%))),
IF(AND($A192="COMPOSICAO",$A$8="SEM DESONERAÇÃO"),_xlfn.XLOOKUP($B192,'CSD'!B:B,OFFSET('CSD'!$D:$D,0,1+MATCH($B$8,'CSD'!$E$4:$BF$4,0)),0),
IF(AND($A192="COMPOSICAO",$A$8="COM DESONERAÇÃO"),_xlfn.XLOOKUP($B192,'CCD'!B:B,OFFSET('CCD'!$D:$D,0,1+MATCH($B$8,'CCD'!$E$4:$BF$4,0)),0),
IF(AND($A192="COMPOSICAO",$A$8="SEM ENCARGOS SOCIAIS"),_xlfn.XLOOKUP($B192,'CSE'!B:B,OFFSET('CSE'!$D:$D,0,1+MATCH($B$8,'CSE'!$E$9:$BF$9,0)),0),""
)))))))</f>
        <v>0</v>
      </c>
    </row>
    <row r="193" spans="6:8">
      <c r="F193" s="19" cm="1">
        <f t="array" ref="F193">IF($A193="","",
IF(AND($A193="INSUMO",$A$8="SEM DESONERAÇÃO"),_xlfn.LET(_xlpm.linha_insumo,MATCH($B193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_xlpm.preco_regional_as,INDEX($M:$M,MATCH($B193&amp;"_"&amp;$B$8,$K:$K,0)),
IF(ISERROR(_xlpm.linha_insumo),0,IF(_xlpm.preco_uf&lt;&gt;0,_xlpm.preco_uf,IF(ISNUMBER(_xlpm.preco_regional_as),_xlpm.preco_regional_as,_xlpm.preco_sp)))),
IF(AND($A193="INSUMO",$A$8="COM DESONERAÇÃO"),_xlfn.LET(_xlpm.linha_insumo,MATCH($B193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_xlpm.preco_regional_as,INDEX($N:$N,MATCH($B193&amp;"_"&amp;$B$8,$K:$K,0)),
IF(ISERROR(_xlpm.linha_insumo),0,IF(_xlpm.preco_uf&lt;&gt;0,_xlpm.preco_uf,IF(ISNUMBER(_xlpm.preco_regional_as),_xlpm.preco_regional_as,_xlpm.preco_sp)))),
IF(AND($A193="INSUMO",$A$8="SEM ENCARGOS SOCIAIS"),_xlfn.LET(_xlpm.linha_insumo,MATCH($B193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_xlpm.preco_regional_as,INDEX($L:$L,MATCH($B193&amp;"_"&amp;$B$8,$K:$K,0)),
IF(ISERROR(_xlpm.linha_insumo),0,IF(_xlpm.preco_uf&lt;&gt;0,_xlpm.preco_uf,IF(ISNUMBER(_xlpm.preco_regional_as),_xlpm.preco_regional_as,_xlpm.preco_sp)))),
IF(AND($A193="COMPOSICAO",$A$8="SEM DESONERAÇÃO"),_xlfn.XLOOKUP($B193,'CSD'!B:B,OFFSET('CSD'!$D:$D,0,MATCH($B$8,'CSD'!$E$4:$BF$4,0)),0),
IF(AND($A193="COMPOSICAO",$A$8="COM DESONERAÇÃO"),_xlfn.XLOOKUP($B193,'CCD'!B:B,OFFSET('CCD'!$D:$D,0,MATCH($B$8,'CCD'!$E$4:$BF$4,0)),0),
IF(AND($A193="COMPOSICAO",$A$8="SEM ENCARGOS SOCIAIS"),_xlfn.XLOOKUP($B193,'CSE'!B:B,OFFSET('CSE'!$D:$D,0,MATCH($B$8,'CSE'!$E$9:$BF$9,0)),0),""
)))))))</f>
        <v>0</v>
      </c>
      <c r="G193" s="19">
        <f>IF($A193="","",TRUNC(E193*F193,2))</f>
        <v>0</v>
      </c>
      <c r="H193" s="20" cm="1">
        <f t="array" ref="H193">IF($A193="","",
IF(AND($A193="INSUMO",$A$8="SEM DESONERAÇÃO"),_xlfn.LET(_xlpm.linha_insumo,MATCH($B193,'ISD'!$B:$B,0),_xlpm.coluna_uf,MATCH($B$8,'ISD'!$F$4:$AF$4,0),_xlpm.preco_uf,INDEX('ISD'!$F:$AF,_xlpm.linha_insumo,_xlpm.coluna_uf),IF(ISERROR(_xlpm.linha_insumo),"",IF(_xlpm.preco_uf&lt;&gt;0,0%,100%))),
IF(AND($A193="INSUMO",$A$8="COM DESONERAÇÃO"),_xlfn.LET(_xlpm.linha_insumo,MATCH($B193,'ICD'!$B:$B,0),_xlpm.coluna_uf,MATCH($B$8,'ICD'!$F$4:$AF$4,0),_xlpm.preco_uf,INDEX('ICD'!$F:$AF,_xlpm.linha_insumo,_xlpm.coluna_uf),IF(ISERROR(_xlpm.linha_insumo),"",IF(_xlpm.preco_uf&lt;&gt;0,0%,100%))),
IF(AND($A193="INSUMO",$A$8="SEM ENCARGOS SOCIAIS"),_xlfn.LET(_xlpm.linha_insumo,MATCH($B193,'ISE'!$B:$B,0),_xlpm.coluna_uf,MATCH($B$8,'ISE'!$F$10:$AF$10,0),_xlpm.preco_uf,INDEX('ISE'!$F:$AF,_xlpm.linha_insumo,_xlpm.coluna_uf),IF(ISERROR(_xlpm.linha_insumo),"",IF(_xlpm.preco_uf&lt;&gt;0,0%,100%))),
IF(AND($A193="COMPOSICAO",$A$8="SEM DESONERAÇÃO"),_xlfn.XLOOKUP($B193,'CSD'!B:B,OFFSET('CSD'!$D:$D,0,1+MATCH($B$8,'CSD'!$E$4:$BF$4,0)),0),
IF(AND($A193="COMPOSICAO",$A$8="COM DESONERAÇÃO"),_xlfn.XLOOKUP($B193,'CCD'!B:B,OFFSET('CCD'!$D:$D,0,1+MATCH($B$8,'CCD'!$E$4:$BF$4,0)),0),
IF(AND($A193="COMPOSICAO",$A$8="SEM ENCARGOS SOCIAIS"),_xlfn.XLOOKUP($B193,'CSE'!B:B,OFFSET('CSE'!$D:$D,0,1+MATCH($B$8,'CSE'!$E$9:$BF$9,0)),0),""
)))))))</f>
        <v>0</v>
      </c>
    </row>
    <row r="194" spans="6:8">
      <c r="F194" s="19" cm="1">
        <f t="array" ref="F194">IF($A194="","",
IF(AND($A194="INSUMO",$A$8="SEM DESONERAÇÃO"),_xlfn.LET(_xlpm.linha_insumo,MATCH($B194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_xlpm.preco_regional_as,INDEX($M:$M,MATCH($B194&amp;"_"&amp;$B$8,$K:$K,0)),
IF(ISERROR(_xlpm.linha_insumo),0,IF(_xlpm.preco_uf&lt;&gt;0,_xlpm.preco_uf,IF(ISNUMBER(_xlpm.preco_regional_as),_xlpm.preco_regional_as,_xlpm.preco_sp)))),
IF(AND($A194="INSUMO",$A$8="COM DESONERAÇÃO"),_xlfn.LET(_xlpm.linha_insumo,MATCH($B194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_xlpm.preco_regional_as,INDEX($N:$N,MATCH($B194&amp;"_"&amp;$B$8,$K:$K,0)),
IF(ISERROR(_xlpm.linha_insumo),0,IF(_xlpm.preco_uf&lt;&gt;0,_xlpm.preco_uf,IF(ISNUMBER(_xlpm.preco_regional_as),_xlpm.preco_regional_as,_xlpm.preco_sp)))),
IF(AND($A194="INSUMO",$A$8="SEM ENCARGOS SOCIAIS"),_xlfn.LET(_xlpm.linha_insumo,MATCH($B194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_xlpm.preco_regional_as,INDEX($L:$L,MATCH($B194&amp;"_"&amp;$B$8,$K:$K,0)),
IF(ISERROR(_xlpm.linha_insumo),0,IF(_xlpm.preco_uf&lt;&gt;0,_xlpm.preco_uf,IF(ISNUMBER(_xlpm.preco_regional_as),_xlpm.preco_regional_as,_xlpm.preco_sp)))),
IF(AND($A194="COMPOSICAO",$A$8="SEM DESONERAÇÃO"),_xlfn.XLOOKUP($B194,'CSD'!B:B,OFFSET('CSD'!$D:$D,0,MATCH($B$8,'CSD'!$E$4:$BF$4,0)),0),
IF(AND($A194="COMPOSICAO",$A$8="COM DESONERAÇÃO"),_xlfn.XLOOKUP($B194,'CCD'!B:B,OFFSET('CCD'!$D:$D,0,MATCH($B$8,'CCD'!$E$4:$BF$4,0)),0),
IF(AND($A194="COMPOSICAO",$A$8="SEM ENCARGOS SOCIAIS"),_xlfn.XLOOKUP($B194,'CSE'!B:B,OFFSET('CSE'!$D:$D,0,MATCH($B$8,'CSE'!$E$9:$BF$9,0)),0),""
)))))))</f>
        <v>0</v>
      </c>
      <c r="G194" s="19">
        <f>IF($A194="","",TRUNC(E194*F194,2))</f>
        <v>0</v>
      </c>
      <c r="H194" s="20" cm="1">
        <f t="array" ref="H194">IF($A194="","",
IF(AND($A194="INSUMO",$A$8="SEM DESONERAÇÃO"),_xlfn.LET(_xlpm.linha_insumo,MATCH($B194,'ISD'!$B:$B,0),_xlpm.coluna_uf,MATCH($B$8,'ISD'!$F$4:$AF$4,0),_xlpm.preco_uf,INDEX('ISD'!$F:$AF,_xlpm.linha_insumo,_xlpm.coluna_uf),IF(ISERROR(_xlpm.linha_insumo),"",IF(_xlpm.preco_uf&lt;&gt;0,0%,100%))),
IF(AND($A194="INSUMO",$A$8="COM DESONERAÇÃO"),_xlfn.LET(_xlpm.linha_insumo,MATCH($B194,'ICD'!$B:$B,0),_xlpm.coluna_uf,MATCH($B$8,'ICD'!$F$4:$AF$4,0),_xlpm.preco_uf,INDEX('ICD'!$F:$AF,_xlpm.linha_insumo,_xlpm.coluna_uf),IF(ISERROR(_xlpm.linha_insumo),"",IF(_xlpm.preco_uf&lt;&gt;0,0%,100%))),
IF(AND($A194="INSUMO",$A$8="SEM ENCARGOS SOCIAIS"),_xlfn.LET(_xlpm.linha_insumo,MATCH($B194,'ISE'!$B:$B,0),_xlpm.coluna_uf,MATCH($B$8,'ISE'!$F$10:$AF$10,0),_xlpm.preco_uf,INDEX('ISE'!$F:$AF,_xlpm.linha_insumo,_xlpm.coluna_uf),IF(ISERROR(_xlpm.linha_insumo),"",IF(_xlpm.preco_uf&lt;&gt;0,0%,100%))),
IF(AND($A194="COMPOSICAO",$A$8="SEM DESONERAÇÃO"),_xlfn.XLOOKUP($B194,'CSD'!B:B,OFFSET('CSD'!$D:$D,0,1+MATCH($B$8,'CSD'!$E$4:$BF$4,0)),0),
IF(AND($A194="COMPOSICAO",$A$8="COM DESONERAÇÃO"),_xlfn.XLOOKUP($B194,'CCD'!B:B,OFFSET('CCD'!$D:$D,0,1+MATCH($B$8,'CCD'!$E$4:$BF$4,0)),0),
IF(AND($A194="COMPOSICAO",$A$8="SEM ENCARGOS SOCIAIS"),_xlfn.XLOOKUP($B194,'CSE'!B:B,OFFSET('CSE'!$D:$D,0,1+MATCH($B$8,'CSE'!$E$9:$BF$9,0)),0),""
)))))))</f>
        <v>0</v>
      </c>
    </row>
    <row r="195" spans="6:8">
      <c r="F195" s="19" cm="1">
        <f t="array" ref="F195">IF($A195="","",
IF(AND($A195="INSUMO",$A$8="SEM DESONERAÇÃO"),_xlfn.LET(_xlpm.linha_insumo,MATCH($B195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_xlpm.preco_regional_as,INDEX($M:$M,MATCH($B195&amp;"_"&amp;$B$8,$K:$K,0)),
IF(ISERROR(_xlpm.linha_insumo),0,IF(_xlpm.preco_uf&lt;&gt;0,_xlpm.preco_uf,IF(ISNUMBER(_xlpm.preco_regional_as),_xlpm.preco_regional_as,_xlpm.preco_sp)))),
IF(AND($A195="INSUMO",$A$8="COM DESONERAÇÃO"),_xlfn.LET(_xlpm.linha_insumo,MATCH($B195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_xlpm.preco_regional_as,INDEX($N:$N,MATCH($B195&amp;"_"&amp;$B$8,$K:$K,0)),
IF(ISERROR(_xlpm.linha_insumo),0,IF(_xlpm.preco_uf&lt;&gt;0,_xlpm.preco_uf,IF(ISNUMBER(_xlpm.preco_regional_as),_xlpm.preco_regional_as,_xlpm.preco_sp)))),
IF(AND($A195="INSUMO",$A$8="SEM ENCARGOS SOCIAIS"),_xlfn.LET(_xlpm.linha_insumo,MATCH($B195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_xlpm.preco_regional_as,INDEX($L:$L,MATCH($B195&amp;"_"&amp;$B$8,$K:$K,0)),
IF(ISERROR(_xlpm.linha_insumo),0,IF(_xlpm.preco_uf&lt;&gt;0,_xlpm.preco_uf,IF(ISNUMBER(_xlpm.preco_regional_as),_xlpm.preco_regional_as,_xlpm.preco_sp)))),
IF(AND($A195="COMPOSICAO",$A$8="SEM DESONERAÇÃO"),_xlfn.XLOOKUP($B195,'CSD'!B:B,OFFSET('CSD'!$D:$D,0,MATCH($B$8,'CSD'!$E$4:$BF$4,0)),0),
IF(AND($A195="COMPOSICAO",$A$8="COM DESONERAÇÃO"),_xlfn.XLOOKUP($B195,'CCD'!B:B,OFFSET('CCD'!$D:$D,0,MATCH($B$8,'CCD'!$E$4:$BF$4,0)),0),
IF(AND($A195="COMPOSICAO",$A$8="SEM ENCARGOS SOCIAIS"),_xlfn.XLOOKUP($B195,'CSE'!B:B,OFFSET('CSE'!$D:$D,0,MATCH($B$8,'CSE'!$E$9:$BF$9,0)),0),""
)))))))</f>
        <v>0</v>
      </c>
      <c r="G195" s="19">
        <f>IF($A195="","",TRUNC(E195*F195,2))</f>
        <v>0</v>
      </c>
      <c r="H195" s="20" cm="1">
        <f t="array" ref="H195">IF($A195="","",
IF(AND($A195="INSUMO",$A$8="SEM DESONERAÇÃO"),_xlfn.LET(_xlpm.linha_insumo,MATCH($B195,'ISD'!$B:$B,0),_xlpm.coluna_uf,MATCH($B$8,'ISD'!$F$4:$AF$4,0),_xlpm.preco_uf,INDEX('ISD'!$F:$AF,_xlpm.linha_insumo,_xlpm.coluna_uf),IF(ISERROR(_xlpm.linha_insumo),"",IF(_xlpm.preco_uf&lt;&gt;0,0%,100%))),
IF(AND($A195="INSUMO",$A$8="COM DESONERAÇÃO"),_xlfn.LET(_xlpm.linha_insumo,MATCH($B195,'ICD'!$B:$B,0),_xlpm.coluna_uf,MATCH($B$8,'ICD'!$F$4:$AF$4,0),_xlpm.preco_uf,INDEX('ICD'!$F:$AF,_xlpm.linha_insumo,_xlpm.coluna_uf),IF(ISERROR(_xlpm.linha_insumo),"",IF(_xlpm.preco_uf&lt;&gt;0,0%,100%))),
IF(AND($A195="INSUMO",$A$8="SEM ENCARGOS SOCIAIS"),_xlfn.LET(_xlpm.linha_insumo,MATCH($B195,'ISE'!$B:$B,0),_xlpm.coluna_uf,MATCH($B$8,'ISE'!$F$10:$AF$10,0),_xlpm.preco_uf,INDEX('ISE'!$F:$AF,_xlpm.linha_insumo,_xlpm.coluna_uf),IF(ISERROR(_xlpm.linha_insumo),"",IF(_xlpm.preco_uf&lt;&gt;0,0%,100%))),
IF(AND($A195="COMPOSICAO",$A$8="SEM DESONERAÇÃO"),_xlfn.XLOOKUP($B195,'CSD'!B:B,OFFSET('CSD'!$D:$D,0,1+MATCH($B$8,'CSD'!$E$4:$BF$4,0)),0),
IF(AND($A195="COMPOSICAO",$A$8="COM DESONERAÇÃO"),_xlfn.XLOOKUP($B195,'CCD'!B:B,OFFSET('CCD'!$D:$D,0,1+MATCH($B$8,'CCD'!$E$4:$BF$4,0)),0),
IF(AND($A195="COMPOSICAO",$A$8="SEM ENCARGOS SOCIAIS"),_xlfn.XLOOKUP($B195,'CSE'!B:B,OFFSET('CSE'!$D:$D,0,1+MATCH($B$8,'CSE'!$E$9:$BF$9,0)),0),""
)))))))</f>
        <v>0</v>
      </c>
    </row>
    <row r="196" spans="6:8">
      <c r="F196" s="19" cm="1">
        <f t="array" ref="F196">IF($A196="","",
IF(AND($A196="INSUMO",$A$8="SEM DESONERAÇÃO"),_xlfn.LET(_xlpm.linha_insumo,MATCH($B196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_xlpm.preco_regional_as,INDEX($M:$M,MATCH($B196&amp;"_"&amp;$B$8,$K:$K,0)),
IF(ISERROR(_xlpm.linha_insumo),0,IF(_xlpm.preco_uf&lt;&gt;0,_xlpm.preco_uf,IF(ISNUMBER(_xlpm.preco_regional_as),_xlpm.preco_regional_as,_xlpm.preco_sp)))),
IF(AND($A196="INSUMO",$A$8="COM DESONERAÇÃO"),_xlfn.LET(_xlpm.linha_insumo,MATCH($B196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_xlpm.preco_regional_as,INDEX($N:$N,MATCH($B196&amp;"_"&amp;$B$8,$K:$K,0)),
IF(ISERROR(_xlpm.linha_insumo),0,IF(_xlpm.preco_uf&lt;&gt;0,_xlpm.preco_uf,IF(ISNUMBER(_xlpm.preco_regional_as),_xlpm.preco_regional_as,_xlpm.preco_sp)))),
IF(AND($A196="INSUMO",$A$8="SEM ENCARGOS SOCIAIS"),_xlfn.LET(_xlpm.linha_insumo,MATCH($B196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_xlpm.preco_regional_as,INDEX($L:$L,MATCH($B196&amp;"_"&amp;$B$8,$K:$K,0)),
IF(ISERROR(_xlpm.linha_insumo),0,IF(_xlpm.preco_uf&lt;&gt;0,_xlpm.preco_uf,IF(ISNUMBER(_xlpm.preco_regional_as),_xlpm.preco_regional_as,_xlpm.preco_sp)))),
IF(AND($A196="COMPOSICAO",$A$8="SEM DESONERAÇÃO"),_xlfn.XLOOKUP($B196,'CSD'!B:B,OFFSET('CSD'!$D:$D,0,MATCH($B$8,'CSD'!$E$4:$BF$4,0)),0),
IF(AND($A196="COMPOSICAO",$A$8="COM DESONERAÇÃO"),_xlfn.XLOOKUP($B196,'CCD'!B:B,OFFSET('CCD'!$D:$D,0,MATCH($B$8,'CCD'!$E$4:$BF$4,0)),0),
IF(AND($A196="COMPOSICAO",$A$8="SEM ENCARGOS SOCIAIS"),_xlfn.XLOOKUP($B196,'CSE'!B:B,OFFSET('CSE'!$D:$D,0,MATCH($B$8,'CSE'!$E$9:$BF$9,0)),0),""
)))))))</f>
        <v>0</v>
      </c>
      <c r="G196" s="19">
        <f>IF($A196="","",TRUNC(E196*F196,2))</f>
        <v>0</v>
      </c>
      <c r="H196" s="20" cm="1">
        <f t="array" ref="H196">IF($A196="","",
IF(AND($A196="INSUMO",$A$8="SEM DESONERAÇÃO"),_xlfn.LET(_xlpm.linha_insumo,MATCH($B196,'ISD'!$B:$B,0),_xlpm.coluna_uf,MATCH($B$8,'ISD'!$F$4:$AF$4,0),_xlpm.preco_uf,INDEX('ISD'!$F:$AF,_xlpm.linha_insumo,_xlpm.coluna_uf),IF(ISERROR(_xlpm.linha_insumo),"",IF(_xlpm.preco_uf&lt;&gt;0,0%,100%))),
IF(AND($A196="INSUMO",$A$8="COM DESONERAÇÃO"),_xlfn.LET(_xlpm.linha_insumo,MATCH($B196,'ICD'!$B:$B,0),_xlpm.coluna_uf,MATCH($B$8,'ICD'!$F$4:$AF$4,0),_xlpm.preco_uf,INDEX('ICD'!$F:$AF,_xlpm.linha_insumo,_xlpm.coluna_uf),IF(ISERROR(_xlpm.linha_insumo),"",IF(_xlpm.preco_uf&lt;&gt;0,0%,100%))),
IF(AND($A196="INSUMO",$A$8="SEM ENCARGOS SOCIAIS"),_xlfn.LET(_xlpm.linha_insumo,MATCH($B196,'ISE'!$B:$B,0),_xlpm.coluna_uf,MATCH($B$8,'ISE'!$F$10:$AF$10,0),_xlpm.preco_uf,INDEX('ISE'!$F:$AF,_xlpm.linha_insumo,_xlpm.coluna_uf),IF(ISERROR(_xlpm.linha_insumo),"",IF(_xlpm.preco_uf&lt;&gt;0,0%,100%))),
IF(AND($A196="COMPOSICAO",$A$8="SEM DESONERAÇÃO"),_xlfn.XLOOKUP($B196,'CSD'!B:B,OFFSET('CSD'!$D:$D,0,1+MATCH($B$8,'CSD'!$E$4:$BF$4,0)),0),
IF(AND($A196="COMPOSICAO",$A$8="COM DESONERAÇÃO"),_xlfn.XLOOKUP($B196,'CCD'!B:B,OFFSET('CCD'!$D:$D,0,1+MATCH($B$8,'CCD'!$E$4:$BF$4,0)),0),
IF(AND($A196="COMPOSICAO",$A$8="SEM ENCARGOS SOCIAIS"),_xlfn.XLOOKUP($B196,'CSE'!B:B,OFFSET('CSE'!$D:$D,0,1+MATCH($B$8,'CSE'!$E$9:$BF$9,0)),0),""
)))))))</f>
        <v>0</v>
      </c>
    </row>
    <row r="197" spans="6:8">
      <c r="F197" s="19" cm="1">
        <f t="array" ref="F197">IF($A197="","",
IF(AND($A197="INSUMO",$A$8="SEM DESONERAÇÃO"),_xlfn.LET(_xlpm.linha_insumo,MATCH($B197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_xlpm.preco_regional_as,INDEX($M:$M,MATCH($B197&amp;"_"&amp;$B$8,$K:$K,0)),
IF(ISERROR(_xlpm.linha_insumo),0,IF(_xlpm.preco_uf&lt;&gt;0,_xlpm.preco_uf,IF(ISNUMBER(_xlpm.preco_regional_as),_xlpm.preco_regional_as,_xlpm.preco_sp)))),
IF(AND($A197="INSUMO",$A$8="COM DESONERAÇÃO"),_xlfn.LET(_xlpm.linha_insumo,MATCH($B197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_xlpm.preco_regional_as,INDEX($N:$N,MATCH($B197&amp;"_"&amp;$B$8,$K:$K,0)),
IF(ISERROR(_xlpm.linha_insumo),0,IF(_xlpm.preco_uf&lt;&gt;0,_xlpm.preco_uf,IF(ISNUMBER(_xlpm.preco_regional_as),_xlpm.preco_regional_as,_xlpm.preco_sp)))),
IF(AND($A197="INSUMO",$A$8="SEM ENCARGOS SOCIAIS"),_xlfn.LET(_xlpm.linha_insumo,MATCH($B197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_xlpm.preco_regional_as,INDEX($L:$L,MATCH($B197&amp;"_"&amp;$B$8,$K:$K,0)),
IF(ISERROR(_xlpm.linha_insumo),0,IF(_xlpm.preco_uf&lt;&gt;0,_xlpm.preco_uf,IF(ISNUMBER(_xlpm.preco_regional_as),_xlpm.preco_regional_as,_xlpm.preco_sp)))),
IF(AND($A197="COMPOSICAO",$A$8="SEM DESONERAÇÃO"),_xlfn.XLOOKUP($B197,'CSD'!B:B,OFFSET('CSD'!$D:$D,0,MATCH($B$8,'CSD'!$E$4:$BF$4,0)),0),
IF(AND($A197="COMPOSICAO",$A$8="COM DESONERAÇÃO"),_xlfn.XLOOKUP($B197,'CCD'!B:B,OFFSET('CCD'!$D:$D,0,MATCH($B$8,'CCD'!$E$4:$BF$4,0)),0),
IF(AND($A197="COMPOSICAO",$A$8="SEM ENCARGOS SOCIAIS"),_xlfn.XLOOKUP($B197,'CSE'!B:B,OFFSET('CSE'!$D:$D,0,MATCH($B$8,'CSE'!$E$9:$BF$9,0)),0),""
)))))))</f>
        <v>0</v>
      </c>
      <c r="G197" s="19">
        <f>IF($A197="","",TRUNC(E197*F197,2))</f>
        <v>0</v>
      </c>
      <c r="H197" s="20" cm="1">
        <f t="array" ref="H197">IF($A197="","",
IF(AND($A197="INSUMO",$A$8="SEM DESONERAÇÃO"),_xlfn.LET(_xlpm.linha_insumo,MATCH($B197,'ISD'!$B:$B,0),_xlpm.coluna_uf,MATCH($B$8,'ISD'!$F$4:$AF$4,0),_xlpm.preco_uf,INDEX('ISD'!$F:$AF,_xlpm.linha_insumo,_xlpm.coluna_uf),IF(ISERROR(_xlpm.linha_insumo),"",IF(_xlpm.preco_uf&lt;&gt;0,0%,100%))),
IF(AND($A197="INSUMO",$A$8="COM DESONERAÇÃO"),_xlfn.LET(_xlpm.linha_insumo,MATCH($B197,'ICD'!$B:$B,0),_xlpm.coluna_uf,MATCH($B$8,'ICD'!$F$4:$AF$4,0),_xlpm.preco_uf,INDEX('ICD'!$F:$AF,_xlpm.linha_insumo,_xlpm.coluna_uf),IF(ISERROR(_xlpm.linha_insumo),"",IF(_xlpm.preco_uf&lt;&gt;0,0%,100%))),
IF(AND($A197="INSUMO",$A$8="SEM ENCARGOS SOCIAIS"),_xlfn.LET(_xlpm.linha_insumo,MATCH($B197,'ISE'!$B:$B,0),_xlpm.coluna_uf,MATCH($B$8,'ISE'!$F$10:$AF$10,0),_xlpm.preco_uf,INDEX('ISE'!$F:$AF,_xlpm.linha_insumo,_xlpm.coluna_uf),IF(ISERROR(_xlpm.linha_insumo),"",IF(_xlpm.preco_uf&lt;&gt;0,0%,100%))),
IF(AND($A197="COMPOSICAO",$A$8="SEM DESONERAÇÃO"),_xlfn.XLOOKUP($B197,'CSD'!B:B,OFFSET('CSD'!$D:$D,0,1+MATCH($B$8,'CSD'!$E$4:$BF$4,0)),0),
IF(AND($A197="COMPOSICAO",$A$8="COM DESONERAÇÃO"),_xlfn.XLOOKUP($B197,'CCD'!B:B,OFFSET('CCD'!$D:$D,0,1+MATCH($B$8,'CCD'!$E$4:$BF$4,0)),0),
IF(AND($A197="COMPOSICAO",$A$8="SEM ENCARGOS SOCIAIS"),_xlfn.XLOOKUP($B197,'CSE'!B:B,OFFSET('CSE'!$D:$D,0,1+MATCH($B$8,'CSE'!$E$9:$BF$9,0)),0),""
)))))))</f>
        <v>0</v>
      </c>
    </row>
    <row r="198" spans="6:8">
      <c r="F198" s="19" cm="1">
        <f t="array" ref="F198">IF($A198="","",
IF(AND($A198="INSUMO",$A$8="SEM DESONERAÇÃO"),_xlfn.LET(_xlpm.linha_insumo,MATCH($B198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_xlpm.preco_regional_as,INDEX($M:$M,MATCH($B198&amp;"_"&amp;$B$8,$K:$K,0)),
IF(ISERROR(_xlpm.linha_insumo),0,IF(_xlpm.preco_uf&lt;&gt;0,_xlpm.preco_uf,IF(ISNUMBER(_xlpm.preco_regional_as),_xlpm.preco_regional_as,_xlpm.preco_sp)))),
IF(AND($A198="INSUMO",$A$8="COM DESONERAÇÃO"),_xlfn.LET(_xlpm.linha_insumo,MATCH($B198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_xlpm.preco_regional_as,INDEX($N:$N,MATCH($B198&amp;"_"&amp;$B$8,$K:$K,0)),
IF(ISERROR(_xlpm.linha_insumo),0,IF(_xlpm.preco_uf&lt;&gt;0,_xlpm.preco_uf,IF(ISNUMBER(_xlpm.preco_regional_as),_xlpm.preco_regional_as,_xlpm.preco_sp)))),
IF(AND($A198="INSUMO",$A$8="SEM ENCARGOS SOCIAIS"),_xlfn.LET(_xlpm.linha_insumo,MATCH($B198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_xlpm.preco_regional_as,INDEX($L:$L,MATCH($B198&amp;"_"&amp;$B$8,$K:$K,0)),
IF(ISERROR(_xlpm.linha_insumo),0,IF(_xlpm.preco_uf&lt;&gt;0,_xlpm.preco_uf,IF(ISNUMBER(_xlpm.preco_regional_as),_xlpm.preco_regional_as,_xlpm.preco_sp)))),
IF(AND($A198="COMPOSICAO",$A$8="SEM DESONERAÇÃO"),_xlfn.XLOOKUP($B198,'CSD'!B:B,OFFSET('CSD'!$D:$D,0,MATCH($B$8,'CSD'!$E$4:$BF$4,0)),0),
IF(AND($A198="COMPOSICAO",$A$8="COM DESONERAÇÃO"),_xlfn.XLOOKUP($B198,'CCD'!B:B,OFFSET('CCD'!$D:$D,0,MATCH($B$8,'CCD'!$E$4:$BF$4,0)),0),
IF(AND($A198="COMPOSICAO",$A$8="SEM ENCARGOS SOCIAIS"),_xlfn.XLOOKUP($B198,'CSE'!B:B,OFFSET('CSE'!$D:$D,0,MATCH($B$8,'CSE'!$E$9:$BF$9,0)),0),""
)))))))</f>
        <v>0</v>
      </c>
      <c r="G198" s="19">
        <f>IF($A198="","",TRUNC(E198*F198,2))</f>
        <v>0</v>
      </c>
      <c r="H198" s="20" cm="1">
        <f t="array" ref="H198">IF($A198="","",
IF(AND($A198="INSUMO",$A$8="SEM DESONERAÇÃO"),_xlfn.LET(_xlpm.linha_insumo,MATCH($B198,'ISD'!$B:$B,0),_xlpm.coluna_uf,MATCH($B$8,'ISD'!$F$4:$AF$4,0),_xlpm.preco_uf,INDEX('ISD'!$F:$AF,_xlpm.linha_insumo,_xlpm.coluna_uf),IF(ISERROR(_xlpm.linha_insumo),"",IF(_xlpm.preco_uf&lt;&gt;0,0%,100%))),
IF(AND($A198="INSUMO",$A$8="COM DESONERAÇÃO"),_xlfn.LET(_xlpm.linha_insumo,MATCH($B198,'ICD'!$B:$B,0),_xlpm.coluna_uf,MATCH($B$8,'ICD'!$F$4:$AF$4,0),_xlpm.preco_uf,INDEX('ICD'!$F:$AF,_xlpm.linha_insumo,_xlpm.coluna_uf),IF(ISERROR(_xlpm.linha_insumo),"",IF(_xlpm.preco_uf&lt;&gt;0,0%,100%))),
IF(AND($A198="INSUMO",$A$8="SEM ENCARGOS SOCIAIS"),_xlfn.LET(_xlpm.linha_insumo,MATCH($B198,'ISE'!$B:$B,0),_xlpm.coluna_uf,MATCH($B$8,'ISE'!$F$10:$AF$10,0),_xlpm.preco_uf,INDEX('ISE'!$F:$AF,_xlpm.linha_insumo,_xlpm.coluna_uf),IF(ISERROR(_xlpm.linha_insumo),"",IF(_xlpm.preco_uf&lt;&gt;0,0%,100%))),
IF(AND($A198="COMPOSICAO",$A$8="SEM DESONERAÇÃO"),_xlfn.XLOOKUP($B198,'CSD'!B:B,OFFSET('CSD'!$D:$D,0,1+MATCH($B$8,'CSD'!$E$4:$BF$4,0)),0),
IF(AND($A198="COMPOSICAO",$A$8="COM DESONERAÇÃO"),_xlfn.XLOOKUP($B198,'CCD'!B:B,OFFSET('CCD'!$D:$D,0,1+MATCH($B$8,'CCD'!$E$4:$BF$4,0)),0),
IF(AND($A198="COMPOSICAO",$A$8="SEM ENCARGOS SOCIAIS"),_xlfn.XLOOKUP($B198,'CSE'!B:B,OFFSET('CSE'!$D:$D,0,1+MATCH($B$8,'CSE'!$E$9:$BF$9,0)),0),""
)))))))</f>
        <v>0</v>
      </c>
    </row>
    <row r="199" spans="6:8">
      <c r="F199" s="19" cm="1">
        <f t="array" ref="F199">IF($A199="","",
IF(AND($A199="INSUMO",$A$8="SEM DESONERAÇÃO"),_xlfn.LET(_xlpm.linha_insumo,MATCH($B199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_xlpm.preco_regional_as,INDEX($M:$M,MATCH($B199&amp;"_"&amp;$B$8,$K:$K,0)),
IF(ISERROR(_xlpm.linha_insumo),0,IF(_xlpm.preco_uf&lt;&gt;0,_xlpm.preco_uf,IF(ISNUMBER(_xlpm.preco_regional_as),_xlpm.preco_regional_as,_xlpm.preco_sp)))),
IF(AND($A199="INSUMO",$A$8="COM DESONERAÇÃO"),_xlfn.LET(_xlpm.linha_insumo,MATCH($B199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_xlpm.preco_regional_as,INDEX($N:$N,MATCH($B199&amp;"_"&amp;$B$8,$K:$K,0)),
IF(ISERROR(_xlpm.linha_insumo),0,IF(_xlpm.preco_uf&lt;&gt;0,_xlpm.preco_uf,IF(ISNUMBER(_xlpm.preco_regional_as),_xlpm.preco_regional_as,_xlpm.preco_sp)))),
IF(AND($A199="INSUMO",$A$8="SEM ENCARGOS SOCIAIS"),_xlfn.LET(_xlpm.linha_insumo,MATCH($B199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_xlpm.preco_regional_as,INDEX($L:$L,MATCH($B199&amp;"_"&amp;$B$8,$K:$K,0)),
IF(ISERROR(_xlpm.linha_insumo),0,IF(_xlpm.preco_uf&lt;&gt;0,_xlpm.preco_uf,IF(ISNUMBER(_xlpm.preco_regional_as),_xlpm.preco_regional_as,_xlpm.preco_sp)))),
IF(AND($A199="COMPOSICAO",$A$8="SEM DESONERAÇÃO"),_xlfn.XLOOKUP($B199,'CSD'!B:B,OFFSET('CSD'!$D:$D,0,MATCH($B$8,'CSD'!$E$4:$BF$4,0)),0),
IF(AND($A199="COMPOSICAO",$A$8="COM DESONERAÇÃO"),_xlfn.XLOOKUP($B199,'CCD'!B:B,OFFSET('CCD'!$D:$D,0,MATCH($B$8,'CCD'!$E$4:$BF$4,0)),0),
IF(AND($A199="COMPOSICAO",$A$8="SEM ENCARGOS SOCIAIS"),_xlfn.XLOOKUP($B199,'CSE'!B:B,OFFSET('CSE'!$D:$D,0,MATCH($B$8,'CSE'!$E$9:$BF$9,0)),0),""
)))))))</f>
        <v>0</v>
      </c>
      <c r="G199" s="19">
        <f>IF($A199="","",TRUNC(E199*F199,2))</f>
        <v>0</v>
      </c>
      <c r="H199" s="20" cm="1">
        <f t="array" ref="H199">IF($A199="","",
IF(AND($A199="INSUMO",$A$8="SEM DESONERAÇÃO"),_xlfn.LET(_xlpm.linha_insumo,MATCH($B199,'ISD'!$B:$B,0),_xlpm.coluna_uf,MATCH($B$8,'ISD'!$F$4:$AF$4,0),_xlpm.preco_uf,INDEX('ISD'!$F:$AF,_xlpm.linha_insumo,_xlpm.coluna_uf),IF(ISERROR(_xlpm.linha_insumo),"",IF(_xlpm.preco_uf&lt;&gt;0,0%,100%))),
IF(AND($A199="INSUMO",$A$8="COM DESONERAÇÃO"),_xlfn.LET(_xlpm.linha_insumo,MATCH($B199,'ICD'!$B:$B,0),_xlpm.coluna_uf,MATCH($B$8,'ICD'!$F$4:$AF$4,0),_xlpm.preco_uf,INDEX('ICD'!$F:$AF,_xlpm.linha_insumo,_xlpm.coluna_uf),IF(ISERROR(_xlpm.linha_insumo),"",IF(_xlpm.preco_uf&lt;&gt;0,0%,100%))),
IF(AND($A199="INSUMO",$A$8="SEM ENCARGOS SOCIAIS"),_xlfn.LET(_xlpm.linha_insumo,MATCH($B199,'ISE'!$B:$B,0),_xlpm.coluna_uf,MATCH($B$8,'ISE'!$F$10:$AF$10,0),_xlpm.preco_uf,INDEX('ISE'!$F:$AF,_xlpm.linha_insumo,_xlpm.coluna_uf),IF(ISERROR(_xlpm.linha_insumo),"",IF(_xlpm.preco_uf&lt;&gt;0,0%,100%))),
IF(AND($A199="COMPOSICAO",$A$8="SEM DESONERAÇÃO"),_xlfn.XLOOKUP($B199,'CSD'!B:B,OFFSET('CSD'!$D:$D,0,1+MATCH($B$8,'CSD'!$E$4:$BF$4,0)),0),
IF(AND($A199="COMPOSICAO",$A$8="COM DESONERAÇÃO"),_xlfn.XLOOKUP($B199,'CCD'!B:B,OFFSET('CCD'!$D:$D,0,1+MATCH($B$8,'CCD'!$E$4:$BF$4,0)),0),
IF(AND($A199="COMPOSICAO",$A$8="SEM ENCARGOS SOCIAIS"),_xlfn.XLOOKUP($B199,'CSE'!B:B,OFFSET('CSE'!$D:$D,0,1+MATCH($B$8,'CSE'!$E$9:$BF$9,0)),0),""
)))))))</f>
        <v>0</v>
      </c>
    </row>
    <row r="200" spans="6:8">
      <c r="F200" s="19" cm="1">
        <f t="array" ref="F200">IF($A200="","",
IF(AND($A200="INSUMO",$A$8="SEM DESONERAÇÃO"),_xlfn.LET(_xlpm.linha_insumo,MATCH($B200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_xlpm.preco_regional_as,INDEX($M:$M,MATCH($B200&amp;"_"&amp;$B$8,$K:$K,0)),
IF(ISERROR(_xlpm.linha_insumo),0,IF(_xlpm.preco_uf&lt;&gt;0,_xlpm.preco_uf,IF(ISNUMBER(_xlpm.preco_regional_as),_xlpm.preco_regional_as,_xlpm.preco_sp)))),
IF(AND($A200="INSUMO",$A$8="COM DESONERAÇÃO"),_xlfn.LET(_xlpm.linha_insumo,MATCH($B200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_xlpm.preco_regional_as,INDEX($N:$N,MATCH($B200&amp;"_"&amp;$B$8,$K:$K,0)),
IF(ISERROR(_xlpm.linha_insumo),0,IF(_xlpm.preco_uf&lt;&gt;0,_xlpm.preco_uf,IF(ISNUMBER(_xlpm.preco_regional_as),_xlpm.preco_regional_as,_xlpm.preco_sp)))),
IF(AND($A200="INSUMO",$A$8="SEM ENCARGOS SOCIAIS"),_xlfn.LET(_xlpm.linha_insumo,MATCH($B200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_xlpm.preco_regional_as,INDEX($L:$L,MATCH($B200&amp;"_"&amp;$B$8,$K:$K,0)),
IF(ISERROR(_xlpm.linha_insumo),0,IF(_xlpm.preco_uf&lt;&gt;0,_xlpm.preco_uf,IF(ISNUMBER(_xlpm.preco_regional_as),_xlpm.preco_regional_as,_xlpm.preco_sp)))),
IF(AND($A200="COMPOSICAO",$A$8="SEM DESONERAÇÃO"),_xlfn.XLOOKUP($B200,'CSD'!B:B,OFFSET('CSD'!$D:$D,0,MATCH($B$8,'CSD'!$E$4:$BF$4,0)),0),
IF(AND($A200="COMPOSICAO",$A$8="COM DESONERAÇÃO"),_xlfn.XLOOKUP($B200,'CCD'!B:B,OFFSET('CCD'!$D:$D,0,MATCH($B$8,'CCD'!$E$4:$BF$4,0)),0),
IF(AND($A200="COMPOSICAO",$A$8="SEM ENCARGOS SOCIAIS"),_xlfn.XLOOKUP($B200,'CSE'!B:B,OFFSET('CSE'!$D:$D,0,MATCH($B$8,'CSE'!$E$9:$BF$9,0)),0),""
)))))))</f>
        <v>0</v>
      </c>
      <c r="G200" s="19">
        <f>IF($A200="","",TRUNC(E200*F200,2))</f>
        <v>0</v>
      </c>
      <c r="H200" s="20" cm="1">
        <f t="array" ref="H200">IF($A200="","",
IF(AND($A200="INSUMO",$A$8="SEM DESONERAÇÃO"),_xlfn.LET(_xlpm.linha_insumo,MATCH($B200,'ISD'!$B:$B,0),_xlpm.coluna_uf,MATCH($B$8,'ISD'!$F$4:$AF$4,0),_xlpm.preco_uf,INDEX('ISD'!$F:$AF,_xlpm.linha_insumo,_xlpm.coluna_uf),IF(ISERROR(_xlpm.linha_insumo),"",IF(_xlpm.preco_uf&lt;&gt;0,0%,100%))),
IF(AND($A200="INSUMO",$A$8="COM DESONERAÇÃO"),_xlfn.LET(_xlpm.linha_insumo,MATCH($B200,'ICD'!$B:$B,0),_xlpm.coluna_uf,MATCH($B$8,'ICD'!$F$4:$AF$4,0),_xlpm.preco_uf,INDEX('ICD'!$F:$AF,_xlpm.linha_insumo,_xlpm.coluna_uf),IF(ISERROR(_xlpm.linha_insumo),"",IF(_xlpm.preco_uf&lt;&gt;0,0%,100%))),
IF(AND($A200="INSUMO",$A$8="SEM ENCARGOS SOCIAIS"),_xlfn.LET(_xlpm.linha_insumo,MATCH($B200,'ISE'!$B:$B,0),_xlpm.coluna_uf,MATCH($B$8,'ISE'!$F$10:$AF$10,0),_xlpm.preco_uf,INDEX('ISE'!$F:$AF,_xlpm.linha_insumo,_xlpm.coluna_uf),IF(ISERROR(_xlpm.linha_insumo),"",IF(_xlpm.preco_uf&lt;&gt;0,0%,100%))),
IF(AND($A200="COMPOSICAO",$A$8="SEM DESONERAÇÃO"),_xlfn.XLOOKUP($B200,'CSD'!B:B,OFFSET('CSD'!$D:$D,0,1+MATCH($B$8,'CSD'!$E$4:$BF$4,0)),0),
IF(AND($A200="COMPOSICAO",$A$8="COM DESONERAÇÃO"),_xlfn.XLOOKUP($B200,'CCD'!B:B,OFFSET('CCD'!$D:$D,0,1+MATCH($B$8,'CCD'!$E$4:$BF$4,0)),0),
IF(AND($A200="COMPOSICAO",$A$8="SEM ENCARGOS SOCIAIS"),_xlfn.XLOOKUP($B200,'CSE'!B:B,OFFSET('CSE'!$D:$D,0,1+MATCH($B$8,'CSE'!$E$9:$BF$9,0)),0),""
)))))))</f>
        <v>0</v>
      </c>
    </row>
    <row r="201" spans="6:8">
      <c r="F201" s="19" cm="1">
        <f t="array" ref="F201">IF($A201="","",
IF(AND($A201="INSUMO",$A$8="SEM DESONERAÇÃO"),_xlfn.LET(_xlpm.linha_insumo,MATCH($B201,'ISD'!$B:$B,0),_xlpm.coluna_uf,MATCH($B$8,'ISD'!$F$4:$AF$4,0),_xlpm.coluna_sp,MATCH("SP",'ISD'!$F$4:$AF$4,0),_xlpm.preco_uf,INDEX('ISD'!$F:$AF,_xlpm.linha_insumo,_xlpm.coluna_uf),_xlpm.preco_sp,INDEX('ISD'!$F:$AF,_xlpm.linha_insumo,_xlpm.coluna_sp),
_xlpm.preco_regional_as,INDEX($M:$M,MATCH($B201&amp;"_"&amp;$B$8,$K:$K,0)),
IF(ISERROR(_xlpm.linha_insumo),0,IF(_xlpm.preco_uf&lt;&gt;0,_xlpm.preco_uf,IF(ISNUMBER(_xlpm.preco_regional_as),_xlpm.preco_regional_as,_xlpm.preco_sp)))),
IF(AND($A201="INSUMO",$A$8="COM DESONERAÇÃO"),_xlfn.LET(_xlpm.linha_insumo,MATCH($B201,'ICD'!$B:$B,0),_xlpm.coluna_uf,MATCH($B$8,'ICD'!$F$4:$AF$4,0),_xlpm.coluna_sp,MATCH("SP",'ICD'!$F$4:$AF$4,0),_xlpm.preco_uf,INDEX('ICD'!$F:$AF,_xlpm.linha_insumo,_xlpm.coluna_uf),_xlpm.preco_sp,INDEX('ICD'!$F:$AF,_xlpm.linha_insumo,_xlpm.coluna_sp),
_xlpm.preco_regional_as,INDEX($N:$N,MATCH($B201&amp;"_"&amp;$B$8,$K:$K,0)),
IF(ISERROR(_xlpm.linha_insumo),0,IF(_xlpm.preco_uf&lt;&gt;0,_xlpm.preco_uf,IF(ISNUMBER(_xlpm.preco_regional_as),_xlpm.preco_regional_as,_xlpm.preco_sp)))),
IF(AND($A201="INSUMO",$A$8="SEM ENCARGOS SOCIAIS"),_xlfn.LET(_xlpm.linha_insumo,MATCH($B201,'ISE'!$B:$B,0),_xlpm.coluna_uf,MATCH($B$8,'ISE'!$F$10:$AF$10,0),_xlpm.coluna_sp,MATCH("SP",'ISE'!$F$10:$AF$10,0),_xlpm.preco_uf,INDEX('ISE'!$F:$AF,_xlpm.linha_insumo,_xlpm.coluna_uf),_xlpm.preco_sp,INDEX('ISE'!$F:$AF,_xlpm.linha_insumo,_xlpm.coluna_sp),
_xlpm.preco_regional_as,INDEX($L:$L,MATCH($B201&amp;"_"&amp;$B$8,$K:$K,0)),
IF(ISERROR(_xlpm.linha_insumo),0,IF(_xlpm.preco_uf&lt;&gt;0,_xlpm.preco_uf,IF(ISNUMBER(_xlpm.preco_regional_as),_xlpm.preco_regional_as,_xlpm.preco_sp)))),
IF(AND($A201="COMPOSICAO",$A$8="SEM DESONERAÇÃO"),_xlfn.XLOOKUP($B201,'CSD'!B:B,OFFSET('CSD'!$D:$D,0,MATCH($B$8,'CSD'!$E$4:$BF$4,0)),0),
IF(AND($A201="COMPOSICAO",$A$8="COM DESONERAÇÃO"),_xlfn.XLOOKUP($B201,'CCD'!B:B,OFFSET('CCD'!$D:$D,0,MATCH($B$8,'CCD'!$E$4:$BF$4,0)),0),
IF(AND($A201="COMPOSICAO",$A$8="SEM ENCARGOS SOCIAIS"),_xlfn.XLOOKUP($B201,'CSE'!B:B,OFFSET('CSE'!$D:$D,0,MATCH($B$8,'CSE'!$E$9:$BF$9,0)),0),""
)))))))</f>
        <v>0</v>
      </c>
      <c r="G201" s="19">
        <f>IF($A201="","",TRUNC(E201*F201,2))</f>
        <v>0</v>
      </c>
      <c r="H201" s="20" cm="1">
        <f t="array" ref="H201">IF($A201="","",
IF(AND($A201="INSUMO",$A$8="SEM DESONERAÇÃO"),_xlfn.LET(_xlpm.linha_insumo,MATCH($B201,'ISD'!$B:$B,0),_xlpm.coluna_uf,MATCH($B$8,'ISD'!$F$4:$AF$4,0),_xlpm.preco_uf,INDEX('ISD'!$F:$AF,_xlpm.linha_insumo,_xlpm.coluna_uf),IF(ISERROR(_xlpm.linha_insumo),"",IF(_xlpm.preco_uf&lt;&gt;0,0%,100%))),
IF(AND($A201="INSUMO",$A$8="COM DESONERAÇÃO"),_xlfn.LET(_xlpm.linha_insumo,MATCH($B201,'ICD'!$B:$B,0),_xlpm.coluna_uf,MATCH($B$8,'ICD'!$F$4:$AF$4,0),_xlpm.preco_uf,INDEX('ICD'!$F:$AF,_xlpm.linha_insumo,_xlpm.coluna_uf),IF(ISERROR(_xlpm.linha_insumo),"",IF(_xlpm.preco_uf&lt;&gt;0,0%,100%))),
IF(AND($A201="INSUMO",$A$8="SEM ENCARGOS SOCIAIS"),_xlfn.LET(_xlpm.linha_insumo,MATCH($B201,'ISE'!$B:$B,0),_xlpm.coluna_uf,MATCH($B$8,'ISE'!$F$10:$AF$10,0),_xlpm.preco_uf,INDEX('ISE'!$F:$AF,_xlpm.linha_insumo,_xlpm.coluna_uf),IF(ISERROR(_xlpm.linha_insumo),"",IF(_xlpm.preco_uf&lt;&gt;0,0%,100%))),
IF(AND($A201="COMPOSICAO",$A$8="SEM DESONERAÇÃO"),_xlfn.XLOOKUP($B201,'CSD'!B:B,OFFSET('CSD'!$D:$D,0,1+MATCH($B$8,'CSD'!$E$4:$BF$4,0)),0),
IF(AND($A201="COMPOSICAO",$A$8="COM DESONERAÇÃO"),_xlfn.XLOOKUP($B201,'CCD'!B:B,OFFSET('CCD'!$D:$D,0,1+MATCH($B$8,'CCD'!$E$4:$BF$4,0)),0),
IF(AND($A201="COMPOSICAO",$A$8="SEM ENCARGOS SOCIAIS"),_xlfn.XLOOKUP($B201,'CSE'!B:B,OFFSET('CSE'!$D:$D,0,1+MATCH($B$8,'CSE'!$E$9:$BF$9,0)),0),""
)))))))</f>
        <v>0</v>
      </c>
    </row>
  </sheetData>
  <dataValidations count="2">
    <dataValidation type="list" allowBlank="1" showInputMessage="1" showErrorMessage="1" sqref="A8">
      <formula1>"SEM DESONERAÇÃO,COM DESONERAÇÃO,SEM ENCARGOS SOCIAIS"</formula1>
    </dataValidation>
    <dataValidation type="list" allowBlank="1" showInputMessage="1" showErrorMessage="1" sqref="B8">
      <formula1>"AC,AL,AM,AP,BA,CE,DF,ES,GO,MA,MG,MS,MT,PA,PB,PE,PI,PR,RJ,RN,RO,RR,RS,SC,SE,SP,TO"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Menu</vt:lpstr>
      <vt:lpstr>Busca</vt:lpstr>
      <vt:lpstr>ISD</vt:lpstr>
      <vt:lpstr>ICD</vt:lpstr>
      <vt:lpstr>ISE</vt:lpstr>
      <vt:lpstr>CSD</vt:lpstr>
      <vt:lpstr>CCD</vt:lpstr>
      <vt:lpstr>CSE</vt:lpstr>
      <vt:lpstr>Analítico</vt:lpstr>
      <vt:lpstr>Analítico com Custo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2026-03-23T19:15:51Z</dcterms:created>
  <dcterms:modified xsi:type="dcterms:W3CDTF">2026-03-23T19:15:51Z</dcterms:modified>
</cp:coreProperties>
</file>